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CB23C758-5911-4AAE-AD06-C9841F004596}" xr6:coauthVersionLast="47" xr6:coauthVersionMax="47" xr10:uidLastSave="{00000000-0000-0000-0000-000000000000}"/>
  <bookViews>
    <workbookView xWindow="-110" yWindow="-110" windowWidth="19420" windowHeight="10420" xr2:uid="{4336CE8D-5C4B-4ED2-9938-CA2BC797A4B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6" i="2" l="1"/>
  <c r="M46" i="2"/>
  <c r="O46" i="2" s="1"/>
  <c r="L46" i="2"/>
  <c r="K46" i="2"/>
  <c r="N45" i="2"/>
  <c r="L45" i="2"/>
  <c r="K45" i="2"/>
  <c r="N44" i="2"/>
  <c r="L44" i="2"/>
  <c r="K44" i="2"/>
  <c r="N43" i="2"/>
  <c r="L43" i="2"/>
  <c r="M43" i="2" s="1"/>
  <c r="K43" i="2"/>
  <c r="O43" i="2" s="1"/>
  <c r="N42" i="2"/>
  <c r="M42" i="2"/>
  <c r="L42" i="2"/>
  <c r="K42" i="2"/>
  <c r="O42" i="2" s="1"/>
  <c r="N41" i="2"/>
  <c r="O41" i="2" s="1"/>
  <c r="M41" i="2"/>
  <c r="L41" i="2"/>
  <c r="K41" i="2"/>
  <c r="O40" i="2"/>
  <c r="N40" i="2"/>
  <c r="M40" i="2"/>
  <c r="L40" i="2"/>
  <c r="K40" i="2"/>
  <c r="N39" i="2"/>
  <c r="L39" i="2"/>
  <c r="K39" i="2"/>
  <c r="O38" i="2"/>
  <c r="N38" i="2"/>
  <c r="M38" i="2"/>
  <c r="L38" i="2"/>
  <c r="K38" i="2"/>
  <c r="N37" i="2"/>
  <c r="L37" i="2"/>
  <c r="K37" i="2"/>
  <c r="N36" i="2"/>
  <c r="L36" i="2"/>
  <c r="K36" i="2"/>
  <c r="N35" i="2"/>
  <c r="L35" i="2"/>
  <c r="M35" i="2" s="1"/>
  <c r="K35" i="2"/>
  <c r="O35" i="2" s="1"/>
  <c r="N34" i="2"/>
  <c r="M34" i="2"/>
  <c r="L34" i="2"/>
  <c r="K34" i="2"/>
  <c r="O34" i="2" s="1"/>
  <c r="N33" i="2"/>
  <c r="O33" i="2" s="1"/>
  <c r="M33" i="2"/>
  <c r="L33" i="2"/>
  <c r="K33" i="2"/>
  <c r="N32" i="2"/>
  <c r="L32" i="2"/>
  <c r="K32" i="2"/>
  <c r="M32" i="2" s="1"/>
  <c r="O32" i="2" s="1"/>
  <c r="N31" i="2"/>
  <c r="L31" i="2"/>
  <c r="K31" i="2"/>
  <c r="N30" i="2"/>
  <c r="M30" i="2"/>
  <c r="O30" i="2" s="1"/>
  <c r="L30" i="2"/>
  <c r="K30" i="2"/>
  <c r="N29" i="2"/>
  <c r="L29" i="2"/>
  <c r="K29" i="2"/>
  <c r="N28" i="2"/>
  <c r="L28" i="2"/>
  <c r="K28" i="2"/>
  <c r="N27" i="2"/>
  <c r="L27" i="2"/>
  <c r="M27" i="2" s="1"/>
  <c r="K27" i="2"/>
  <c r="N26" i="2"/>
  <c r="M26" i="2"/>
  <c r="L26" i="2"/>
  <c r="K26" i="2"/>
  <c r="O26" i="2" s="1"/>
  <c r="N25" i="2"/>
  <c r="O25" i="2" s="1"/>
  <c r="M25" i="2"/>
  <c r="L25" i="2"/>
  <c r="K25" i="2"/>
  <c r="N24" i="2"/>
  <c r="L24" i="2"/>
  <c r="K24" i="2"/>
  <c r="M24" i="2" s="1"/>
  <c r="O24" i="2" s="1"/>
  <c r="N23" i="2"/>
  <c r="L23" i="2"/>
  <c r="K23" i="2"/>
  <c r="O22" i="2"/>
  <c r="N22" i="2"/>
  <c r="M22" i="2"/>
  <c r="L22" i="2"/>
  <c r="K22" i="2"/>
  <c r="N21" i="2"/>
  <c r="L21" i="2"/>
  <c r="K21" i="2"/>
  <c r="N20" i="2"/>
  <c r="L20" i="2"/>
  <c r="K20" i="2"/>
  <c r="N19" i="2"/>
  <c r="L19" i="2"/>
  <c r="M19" i="2" s="1"/>
  <c r="K19" i="2"/>
  <c r="O19" i="2" s="1"/>
  <c r="N18" i="2"/>
  <c r="M18" i="2"/>
  <c r="L18" i="2"/>
  <c r="K18" i="2"/>
  <c r="O18" i="2" s="1"/>
  <c r="N17" i="2"/>
  <c r="O17" i="2" s="1"/>
  <c r="M17" i="2"/>
  <c r="L17" i="2"/>
  <c r="K17" i="2"/>
  <c r="N16" i="2"/>
  <c r="L16" i="2"/>
  <c r="K16" i="2"/>
  <c r="M16" i="2" s="1"/>
  <c r="O16" i="2" s="1"/>
  <c r="N15" i="2"/>
  <c r="L15" i="2"/>
  <c r="K15" i="2"/>
  <c r="N14" i="2"/>
  <c r="M14" i="2"/>
  <c r="O14" i="2" s="1"/>
  <c r="L14" i="2"/>
  <c r="K14" i="2"/>
  <c r="N13" i="2"/>
  <c r="L13" i="2"/>
  <c r="K13" i="2"/>
  <c r="N12" i="2"/>
  <c r="L12" i="2"/>
  <c r="K12" i="2"/>
  <c r="N11" i="2"/>
  <c r="L11" i="2"/>
  <c r="M11" i="2" s="1"/>
  <c r="K11" i="2"/>
  <c r="O11" i="2" s="1"/>
  <c r="N10" i="2"/>
  <c r="M10" i="2"/>
  <c r="L10" i="2"/>
  <c r="K10" i="2"/>
  <c r="O10" i="2" s="1"/>
  <c r="N9" i="2"/>
  <c r="O9" i="2" s="1"/>
  <c r="M9" i="2"/>
  <c r="L9" i="2"/>
  <c r="K9" i="2"/>
  <c r="Q32" i="1"/>
  <c r="P32" i="1"/>
  <c r="O32" i="1"/>
  <c r="N32" i="1"/>
  <c r="Q31" i="1"/>
  <c r="P31" i="1"/>
  <c r="O31" i="1"/>
  <c r="N31" i="1"/>
  <c r="Q30" i="1"/>
  <c r="P30" i="1"/>
  <c r="O30" i="1"/>
  <c r="N30" i="1"/>
  <c r="Q29" i="1"/>
  <c r="P29" i="1"/>
  <c r="O29" i="1"/>
  <c r="N29" i="1"/>
  <c r="Q28" i="1"/>
  <c r="P28" i="1"/>
  <c r="O28" i="1"/>
  <c r="N28" i="1"/>
  <c r="Q27" i="1"/>
  <c r="P27" i="1"/>
  <c r="O27" i="1"/>
  <c r="N27" i="1"/>
  <c r="Q26" i="1"/>
  <c r="P26" i="1"/>
  <c r="O26" i="1"/>
  <c r="N26" i="1"/>
  <c r="Q25" i="1"/>
  <c r="P25" i="1"/>
  <c r="O25" i="1"/>
  <c r="N25" i="1"/>
  <c r="Q24" i="1"/>
  <c r="P24" i="1"/>
  <c r="O24" i="1"/>
  <c r="N24" i="1"/>
  <c r="Q23" i="1"/>
  <c r="P23" i="1"/>
  <c r="O23" i="1"/>
  <c r="N23" i="1"/>
  <c r="Q22" i="1"/>
  <c r="P22" i="1"/>
  <c r="O22" i="1"/>
  <c r="N22" i="1"/>
  <c r="N16" i="1"/>
  <c r="N15" i="1"/>
  <c r="N14" i="1"/>
  <c r="N13" i="1"/>
  <c r="N12" i="1"/>
  <c r="N11" i="1"/>
  <c r="N8" i="1"/>
  <c r="N7" i="1"/>
  <c r="N6" i="1"/>
  <c r="N5" i="1"/>
  <c r="N4" i="1"/>
  <c r="N3" i="1"/>
  <c r="O12" i="2" l="1"/>
  <c r="O44" i="2"/>
  <c r="O29" i="2"/>
  <c r="O13" i="2"/>
  <c r="O15" i="2"/>
  <c r="O27" i="2"/>
  <c r="O37" i="2"/>
  <c r="O39" i="2"/>
  <c r="M13" i="2"/>
  <c r="M21" i="2"/>
  <c r="O21" i="2" s="1"/>
  <c r="M29" i="2"/>
  <c r="M37" i="2"/>
  <c r="M45" i="2"/>
  <c r="O45" i="2" s="1"/>
  <c r="M15" i="2"/>
  <c r="M23" i="2"/>
  <c r="O23" i="2" s="1"/>
  <c r="M31" i="2"/>
  <c r="O31" i="2" s="1"/>
  <c r="M39" i="2"/>
  <c r="M12" i="2"/>
  <c r="M20" i="2"/>
  <c r="O20" i="2" s="1"/>
  <c r="M28" i="2"/>
  <c r="O28" i="2" s="1"/>
  <c r="M36" i="2"/>
  <c r="O36" i="2" s="1"/>
  <c r="M44" i="2"/>
</calcChain>
</file>

<file path=xl/sharedStrings.xml><?xml version="1.0" encoding="utf-8"?>
<sst xmlns="http://schemas.openxmlformats.org/spreadsheetml/2006/main" count="517" uniqueCount="124">
  <si>
    <t>Create a summary Data Analysis about the dataset given below.</t>
  </si>
  <si>
    <t>Descriptive Analysis</t>
  </si>
  <si>
    <t>Use Name Range concept to apply functions.</t>
  </si>
  <si>
    <t>Total Salary</t>
  </si>
  <si>
    <t>Average Salary</t>
  </si>
  <si>
    <t>Median Salary</t>
  </si>
  <si>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</si>
  <si>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</si>
  <si>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</si>
  <si>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</si>
  <si>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</si>
  <si>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</si>
  <si>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</si>
  <si>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</si>
  <si>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</si>
  <si>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Total Employees</t>
  </si>
  <si>
    <t>Ram</t>
  </si>
  <si>
    <t>Ambradkar</t>
  </si>
  <si>
    <t>Female</t>
  </si>
  <si>
    <t>Married</t>
  </si>
  <si>
    <t>FLM</t>
  </si>
  <si>
    <t>North</t>
  </si>
  <si>
    <t>Max Salary</t>
  </si>
  <si>
    <t>Sachin</t>
  </si>
  <si>
    <t>Bangera</t>
  </si>
  <si>
    <t>Single</t>
  </si>
  <si>
    <t>Digital Marketing</t>
  </si>
  <si>
    <t>Min Salary</t>
  </si>
  <si>
    <t>Rajesh</t>
  </si>
  <si>
    <t>Bohra</t>
  </si>
  <si>
    <t>Rajeesh</t>
  </si>
  <si>
    <t>C</t>
  </si>
  <si>
    <t>Male</t>
  </si>
  <si>
    <t>Inside Sales</t>
  </si>
  <si>
    <t>South</t>
  </si>
  <si>
    <t>More Analysis</t>
  </si>
  <si>
    <t>Melwyn</t>
  </si>
  <si>
    <t>Crasto</t>
  </si>
  <si>
    <t>Marketing</t>
  </si>
  <si>
    <t>total number of males</t>
  </si>
  <si>
    <t>Dedhia</t>
  </si>
  <si>
    <t>Director</t>
  </si>
  <si>
    <t>total number of females</t>
  </si>
  <si>
    <t>Dattatray</t>
  </si>
  <si>
    <t>Desai</t>
  </si>
  <si>
    <t>Learning &amp; Development</t>
  </si>
  <si>
    <t>Mid West</t>
  </si>
  <si>
    <t>Total number Employees working in North</t>
  </si>
  <si>
    <t>Vishnu</t>
  </si>
  <si>
    <t>Average Salary Paid to Sales Departement of North Region</t>
  </si>
  <si>
    <t>Dinesh</t>
  </si>
  <si>
    <t>Dhanuka</t>
  </si>
  <si>
    <t>East</t>
  </si>
  <si>
    <t>Max Salary paid in Digital Marketing</t>
  </si>
  <si>
    <t>Heena</t>
  </si>
  <si>
    <t>Dongre</t>
  </si>
  <si>
    <t>Min Salary paid in South Region</t>
  </si>
  <si>
    <t>Dhiren</t>
  </si>
  <si>
    <t>Haria</t>
  </si>
  <si>
    <t>Gururaj</t>
  </si>
  <si>
    <t>Joshi</t>
  </si>
  <si>
    <t>Ruffina</t>
  </si>
  <si>
    <t>CEO</t>
  </si>
  <si>
    <t>Jagjit</t>
  </si>
  <si>
    <t>Kahlon</t>
  </si>
  <si>
    <t>CCD</t>
  </si>
  <si>
    <t>Regionwise Departmentwise  Total Salary Report</t>
  </si>
  <si>
    <t>Piyush</t>
  </si>
  <si>
    <t>Kamdar</t>
  </si>
  <si>
    <t>Department/Region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</si>
  <si>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</si>
  <si>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</si>
  <si>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</si>
  <si>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</si>
  <si>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</si>
  <si>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</si>
  <si>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</si>
  <si>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</si>
  <si>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</si>
  <si>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</si>
  <si>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</si>
  <si>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</si>
  <si>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</si>
  <si>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</si>
  <si>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</si>
  <si>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</si>
  <si>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</si>
  <si>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</si>
  <si>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</si>
  <si>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</si>
  <si>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</si>
  <si>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</si>
  <si>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</si>
  <si>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</si>
  <si>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</si>
  <si>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</si>
  <si>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</si>
  <si>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</si>
  <si>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</si>
  <si>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</si>
  <si>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</si>
  <si>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</si>
  <si>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</si>
  <si>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</si>
  <si>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</si>
  <si>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</si>
  <si>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</si>
  <si>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</si>
  <si>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</si>
  <si>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</si>
  <si>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</si>
  <si>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</si>
  <si>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</si>
  <si>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</si>
  <si>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Calculate HRA at 45% of Basic salary</t>
  </si>
  <si>
    <t>Give Annual Bonus as 1000 Gift Voucher plus 5% of Basic salary</t>
  </si>
  <si>
    <t>Calcualte Gross Salary</t>
  </si>
  <si>
    <t>Calculate professional tax at 5%</t>
  </si>
  <si>
    <t>Calcualte Net Salary</t>
  </si>
  <si>
    <t>HRA</t>
  </si>
  <si>
    <t>Annual bonus</t>
  </si>
  <si>
    <t>Gross salary</t>
  </si>
  <si>
    <t>TAX</t>
  </si>
  <si>
    <t>NET 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</si>
</sst>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3" xfId="0" applyBorder="1"/>
    <xf numFmtId="0" fontId="0" fillId="0" borderId="3" xfId="0" quotePrefix="1" applyBorder="1" applyAlignment="1">
      <alignment horizontal="center"/>
    </xf>
    <xf numFmtId="0" fontId="0" fillId="0" borderId="3" xfId="0" quotePrefix="1" applyBorder="1"/>
    <xf numFmtId="15" fontId="0" fillId="0" borderId="3" xfId="0" applyNumberFormat="1" applyBorder="1" applyAlignment="1">
      <alignment horizontal="center"/>
    </xf>
    <xf numFmtId="0" fontId="2" fillId="0" borderId="0" xfId="0" applyFont="1"/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148B9-46C6-458F-AF1E-0916CB9DB36B}">
  <dimension ref="B2:Q44"/>
  <sheetViews>
    <sheetView tabSelected="1" workbookViewId="0">
      <selection activeCell="N4" sqref="N4"/>
    </sheetView>
  </sheetViews>
  <sheetFormatPr defaultRowHeight="14.5" x14ac:dyDescent="0.35"/>
  <cols>
    <col min="5" max="5" width="9.81640625" bestFit="1" customWidth="1"/>
    <col min="10" max="10" width="10.7265625" bestFit="1" customWidth="1"/>
    <col min="13" max="13" width="49.26953125" bestFit="1" customWidth="1"/>
    <col min="14" max="14" width="13.26953125" customWidth="1"/>
    <col min="15" max="15" width="12.81640625" bestFit="1" customWidth="1"/>
    <col min="16" max="16" width="14.81640625" bestFit="1" customWidth="1"/>
    <col min="17" max="17" width="9.81640625" bestFit="1" customWidth="1"/>
    <col min="18" max="18" width="9.453125" bestFit="1" customWidth="1"/>
  </cols>
  <sheetData>
    <row r="2" spans="2:14" x14ac:dyDescent="0.35">
      <c r="C2" s="1" t="s">
        <v>0</v>
      </c>
      <c r="D2" s="1"/>
      <c r="E2" s="1"/>
      <c r="F2" s="1"/>
      <c r="G2" s="1"/>
      <c r="H2" s="1"/>
      <c r="M2" s="2" t="s">
        <v>1</v>
      </c>
      <c r="N2" s="3"/>
    </row>
    <row r="3" spans="2:14" x14ac:dyDescent="0.35">
      <c r="C3" s="1" t="s">
        <v>2</v>
      </c>
      <c r="D3" s="1"/>
      <c r="E3" s="1"/>
      <c r="F3" s="1"/>
      <c r="G3" s="1"/>
      <c r="H3" s="1"/>
      <c r="M3" s="4" t="s">
        <v>3</v>
      </c>
      <c r="N3" s="5">
        <f>SUM(J7:J44)</f>
        <v>2191000</v>
      </c>
    </row>
    <row r="4" spans="2:14" x14ac:dyDescent="0.35">
      <c r="M4" s="4" t="s">
        <v>4</v>
      </c>
      <c r="N4" s="5">
        <f>AVERAGE(J7:J44)</f>
        <v>57657.894736842107</v>
      </c>
    </row>
    <row r="5" spans="2:14" x14ac:dyDescent="0.35">
      <c r="M5" s="4" t="s">
        <v>5</v>
      </c>
      <c r="N5" s="5">
        <f>MEDIAN(J7:J44)</f>
        <v>55000</v>
      </c>
    </row>
    <row r="6" spans="2:14" x14ac:dyDescent="0.35"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M6" s="4" t="s">
        <v>15</v>
      </c>
      <c r="N6" s="5">
        <f>COUNT(B7:B44)</f>
        <v>38</v>
      </c>
    </row>
    <row r="7" spans="2:14" x14ac:dyDescent="0.35">
      <c r="B7" s="6">
        <v>150834</v>
      </c>
      <c r="C7" s="7" t="s">
        <v>16</v>
      </c>
      <c r="D7" s="7" t="s">
        <v>17</v>
      </c>
      <c r="E7" s="8">
        <v>31199</v>
      </c>
      <c r="F7" s="6" t="s">
        <v>18</v>
      </c>
      <c r="G7" s="7" t="s">
        <v>19</v>
      </c>
      <c r="H7" s="7" t="s">
        <v>20</v>
      </c>
      <c r="I7" s="7" t="s">
        <v>21</v>
      </c>
      <c r="J7" s="5">
        <v>48000</v>
      </c>
      <c r="M7" s="4" t="s">
        <v>22</v>
      </c>
      <c r="N7" s="5">
        <f>MAX(J7:J44)</f>
        <v>92000</v>
      </c>
    </row>
    <row r="8" spans="2:14" x14ac:dyDescent="0.35">
      <c r="B8" s="6">
        <v>150784</v>
      </c>
      <c r="C8" s="7" t="s">
        <v>23</v>
      </c>
      <c r="D8" s="7" t="s">
        <v>24</v>
      </c>
      <c r="E8" s="8">
        <v>28365</v>
      </c>
      <c r="F8" s="6" t="s">
        <v>18</v>
      </c>
      <c r="G8" s="7" t="s">
        <v>25</v>
      </c>
      <c r="H8" s="7" t="s">
        <v>26</v>
      </c>
      <c r="I8" s="7" t="s">
        <v>21</v>
      </c>
      <c r="J8" s="5">
        <v>35000</v>
      </c>
      <c r="M8" s="4" t="s">
        <v>27</v>
      </c>
      <c r="N8" s="5">
        <f>MIN(J7:J44)</f>
        <v>15000</v>
      </c>
    </row>
    <row r="9" spans="2:14" x14ac:dyDescent="0.35">
      <c r="B9" s="6">
        <v>150791</v>
      </c>
      <c r="C9" s="7" t="s">
        <v>28</v>
      </c>
      <c r="D9" s="7" t="s">
        <v>29</v>
      </c>
      <c r="E9" s="8">
        <v>23346</v>
      </c>
      <c r="F9" s="6" t="s">
        <v>18</v>
      </c>
      <c r="G9" s="7" t="s">
        <v>19</v>
      </c>
      <c r="H9" s="7" t="s">
        <v>26</v>
      </c>
      <c r="I9" s="7" t="s">
        <v>21</v>
      </c>
      <c r="J9" s="5">
        <v>67000</v>
      </c>
    </row>
    <row r="10" spans="2:14" x14ac:dyDescent="0.35">
      <c r="B10" s="6">
        <v>150940</v>
      </c>
      <c r="C10" s="7" t="s">
        <v>30</v>
      </c>
      <c r="D10" s="7" t="s">
        <v>31</v>
      </c>
      <c r="E10" s="8">
        <v>26906</v>
      </c>
      <c r="F10" s="6" t="s">
        <v>32</v>
      </c>
      <c r="G10" s="7" t="s">
        <v>25</v>
      </c>
      <c r="H10" s="7" t="s">
        <v>33</v>
      </c>
      <c r="I10" s="7" t="s">
        <v>34</v>
      </c>
      <c r="J10" s="5">
        <v>87000</v>
      </c>
      <c r="M10" s="2" t="s">
        <v>35</v>
      </c>
      <c r="N10" s="3"/>
    </row>
    <row r="11" spans="2:14" x14ac:dyDescent="0.35">
      <c r="B11" s="6">
        <v>150777</v>
      </c>
      <c r="C11" s="7" t="s">
        <v>36</v>
      </c>
      <c r="D11" s="7" t="s">
        <v>37</v>
      </c>
      <c r="E11" s="8">
        <v>21123</v>
      </c>
      <c r="F11" s="6" t="s">
        <v>32</v>
      </c>
      <c r="G11" s="7" t="s">
        <v>19</v>
      </c>
      <c r="H11" s="7" t="s">
        <v>38</v>
      </c>
      <c r="I11" s="7" t="s">
        <v>21</v>
      </c>
      <c r="J11" s="5">
        <v>22000</v>
      </c>
      <c r="M11" s="5" t="s">
        <v>39</v>
      </c>
      <c r="N11" s="5">
        <f>COUNTIF(F7:F44,F10)</f>
        <v>23</v>
      </c>
    </row>
    <row r="12" spans="2:14" x14ac:dyDescent="0.35">
      <c r="B12" s="6">
        <v>150805</v>
      </c>
      <c r="C12" s="7" t="s">
        <v>28</v>
      </c>
      <c r="D12" s="7" t="s">
        <v>40</v>
      </c>
      <c r="E12" s="8">
        <v>26172</v>
      </c>
      <c r="F12" s="6" t="s">
        <v>32</v>
      </c>
      <c r="G12" s="7" t="s">
        <v>19</v>
      </c>
      <c r="H12" s="7" t="s">
        <v>41</v>
      </c>
      <c r="I12" s="7" t="s">
        <v>21</v>
      </c>
      <c r="J12" s="5">
        <v>91000</v>
      </c>
      <c r="M12" s="5" t="s">
        <v>42</v>
      </c>
      <c r="N12" s="5">
        <f>COUNTIF(F7:F44,F8)</f>
        <v>15</v>
      </c>
    </row>
    <row r="13" spans="2:14" x14ac:dyDescent="0.35">
      <c r="B13" s="6">
        <v>150990</v>
      </c>
      <c r="C13" s="7" t="s">
        <v>43</v>
      </c>
      <c r="D13" s="7" t="s">
        <v>44</v>
      </c>
      <c r="E13" s="8">
        <v>36400</v>
      </c>
      <c r="F13" s="6" t="s">
        <v>32</v>
      </c>
      <c r="G13" s="7" t="s">
        <v>19</v>
      </c>
      <c r="H13" s="7" t="s">
        <v>45</v>
      </c>
      <c r="I13" s="7" t="s">
        <v>46</v>
      </c>
      <c r="J13" s="5">
        <v>77000</v>
      </c>
      <c r="M13" s="5" t="s">
        <v>47</v>
      </c>
      <c r="N13" s="5">
        <f>COUNTIF(I7:I44,I7)</f>
        <v>10</v>
      </c>
    </row>
    <row r="14" spans="2:14" x14ac:dyDescent="0.35">
      <c r="B14" s="6">
        <v>150989</v>
      </c>
      <c r="C14" s="7" t="s">
        <v>48</v>
      </c>
      <c r="D14" s="7" t="s">
        <v>44</v>
      </c>
      <c r="E14" s="8">
        <v>33113</v>
      </c>
      <c r="F14" s="6" t="s">
        <v>32</v>
      </c>
      <c r="G14" s="7" t="s">
        <v>19</v>
      </c>
      <c r="H14" s="7" t="s">
        <v>26</v>
      </c>
      <c r="I14" s="7" t="s">
        <v>46</v>
      </c>
      <c r="J14" s="5">
        <v>45000</v>
      </c>
      <c r="M14" s="5" t="s">
        <v>49</v>
      </c>
      <c r="N14" s="5">
        <f>AVERAGEIFS(J7:J44,H7:H44,H38,I7:I44,I7)</f>
        <v>52000</v>
      </c>
    </row>
    <row r="15" spans="2:14" x14ac:dyDescent="0.35">
      <c r="B15" s="6">
        <v>150881</v>
      </c>
      <c r="C15" s="7" t="s">
        <v>50</v>
      </c>
      <c r="D15" s="7" t="s">
        <v>51</v>
      </c>
      <c r="E15" s="8">
        <v>30337</v>
      </c>
      <c r="F15" s="6" t="s">
        <v>32</v>
      </c>
      <c r="G15" s="7" t="s">
        <v>25</v>
      </c>
      <c r="H15" s="7" t="s">
        <v>26</v>
      </c>
      <c r="I15" s="7" t="s">
        <v>52</v>
      </c>
      <c r="J15" s="5">
        <v>92000</v>
      </c>
      <c r="M15" s="5" t="s">
        <v>53</v>
      </c>
      <c r="N15" s="5">
        <f>_xlfn.MAXIFS(J7:J44,H7:H44,H14)</f>
        <v>92000</v>
      </c>
    </row>
    <row r="16" spans="2:14" x14ac:dyDescent="0.35">
      <c r="B16" s="6">
        <v>150814</v>
      </c>
      <c r="C16" s="7" t="s">
        <v>54</v>
      </c>
      <c r="D16" s="7" t="s">
        <v>55</v>
      </c>
      <c r="E16" s="8">
        <v>26246</v>
      </c>
      <c r="F16" s="6" t="s">
        <v>32</v>
      </c>
      <c r="G16" s="7" t="s">
        <v>19</v>
      </c>
      <c r="H16" s="7" t="s">
        <v>33</v>
      </c>
      <c r="I16" s="7" t="s">
        <v>21</v>
      </c>
      <c r="J16" s="5">
        <v>50000</v>
      </c>
      <c r="M16" s="5" t="s">
        <v>56</v>
      </c>
      <c r="N16" s="5">
        <f>_xlfn.MINIFS(J7:J44,I7:I44,I21)</f>
        <v>19000</v>
      </c>
    </row>
    <row r="17" spans="2:17" x14ac:dyDescent="0.35">
      <c r="B17" s="6">
        <v>150937</v>
      </c>
      <c r="C17" s="7" t="s">
        <v>57</v>
      </c>
      <c r="D17" s="7" t="s">
        <v>58</v>
      </c>
      <c r="E17" s="8">
        <v>24700</v>
      </c>
      <c r="F17" s="6" t="s">
        <v>32</v>
      </c>
      <c r="G17" s="7" t="s">
        <v>19</v>
      </c>
      <c r="H17" s="7" t="s">
        <v>45</v>
      </c>
      <c r="I17" s="7" t="s">
        <v>34</v>
      </c>
      <c r="J17" s="5">
        <v>37000</v>
      </c>
    </row>
    <row r="18" spans="2:17" x14ac:dyDescent="0.35">
      <c r="B18" s="6">
        <v>150888</v>
      </c>
      <c r="C18" s="7" t="s">
        <v>59</v>
      </c>
      <c r="D18" s="7" t="s">
        <v>60</v>
      </c>
      <c r="E18" s="8">
        <v>29221</v>
      </c>
      <c r="F18" s="6" t="s">
        <v>32</v>
      </c>
      <c r="G18" s="7" t="s">
        <v>19</v>
      </c>
      <c r="H18" s="7" t="s">
        <v>45</v>
      </c>
      <c r="I18" s="7" t="s">
        <v>52</v>
      </c>
      <c r="J18" s="5">
        <v>43000</v>
      </c>
    </row>
    <row r="19" spans="2:17" x14ac:dyDescent="0.35">
      <c r="B19" s="6">
        <v>150865</v>
      </c>
      <c r="C19" s="7" t="s">
        <v>61</v>
      </c>
      <c r="D19" s="7" t="s">
        <v>60</v>
      </c>
      <c r="E19" s="8">
        <v>31279</v>
      </c>
      <c r="F19" s="6" t="s">
        <v>18</v>
      </c>
      <c r="G19" s="7" t="s">
        <v>19</v>
      </c>
      <c r="H19" s="7" t="s">
        <v>62</v>
      </c>
      <c r="I19" s="7" t="s">
        <v>52</v>
      </c>
      <c r="J19" s="5">
        <v>90000</v>
      </c>
    </row>
    <row r="20" spans="2:17" x14ac:dyDescent="0.35">
      <c r="B20" s="6">
        <v>150858</v>
      </c>
      <c r="C20" s="7" t="s">
        <v>63</v>
      </c>
      <c r="D20" s="7" t="s">
        <v>64</v>
      </c>
      <c r="E20" s="8">
        <v>34846</v>
      </c>
      <c r="F20" s="6" t="s">
        <v>32</v>
      </c>
      <c r="G20" s="7" t="s">
        <v>19</v>
      </c>
      <c r="H20" s="7" t="s">
        <v>65</v>
      </c>
      <c r="I20" s="7" t="s">
        <v>52</v>
      </c>
      <c r="J20" s="5">
        <v>34000</v>
      </c>
      <c r="M20" s="2" t="s">
        <v>66</v>
      </c>
      <c r="N20" s="3"/>
    </row>
    <row r="21" spans="2:17" x14ac:dyDescent="0.35">
      <c r="B21" s="6">
        <v>150930</v>
      </c>
      <c r="C21" s="7" t="s">
        <v>67</v>
      </c>
      <c r="D21" s="7" t="s">
        <v>68</v>
      </c>
      <c r="E21" s="8">
        <v>37027</v>
      </c>
      <c r="F21" s="6" t="s">
        <v>32</v>
      </c>
      <c r="G21" s="7" t="s">
        <v>19</v>
      </c>
      <c r="H21" s="7" t="s">
        <v>26</v>
      </c>
      <c r="I21" s="7" t="s">
        <v>34</v>
      </c>
      <c r="J21" s="5">
        <v>82000</v>
      </c>
      <c r="M21" s="4" t="s">
        <v>69</v>
      </c>
      <c r="N21" s="4" t="s">
        <v>21</v>
      </c>
      <c r="O21" s="4" t="s">
        <v>34</v>
      </c>
      <c r="P21" s="4" t="s">
        <v>52</v>
      </c>
      <c r="Q21" s="4" t="s">
        <v>46</v>
      </c>
    </row>
    <row r="22" spans="2:17" x14ac:dyDescent="0.35">
      <c r="B22" s="6">
        <v>150894</v>
      </c>
      <c r="C22" s="7" t="s">
        <v>70</v>
      </c>
      <c r="D22" s="7" t="s">
        <v>71</v>
      </c>
      <c r="E22" s="8">
        <v>37124</v>
      </c>
      <c r="F22" s="6" t="s">
        <v>32</v>
      </c>
      <c r="G22" s="7" t="s">
        <v>19</v>
      </c>
      <c r="H22" s="7" t="s">
        <v>33</v>
      </c>
      <c r="I22" s="7" t="s">
        <v>34</v>
      </c>
      <c r="J22" s="5">
        <v>67000</v>
      </c>
      <c r="M22" s="7" t="s">
        <v>20</v>
      </c>
      <c r="N22" s="5">
        <f>SUMIFS(J7:J44,I7:I44,I7,H7:H44,H7)</f>
        <v>48000</v>
      </c>
      <c r="O22" s="5">
        <f>SUMIFS(J7:J44,I7:I44,I27,H7:H44,H7)</f>
        <v>62000</v>
      </c>
      <c r="P22" s="5">
        <f>SUMIFS(J7:J44,I7:I44,I28,H7:H44,H7)</f>
        <v>0</v>
      </c>
      <c r="Q22" s="5">
        <f>SUMIFS(J7:J44,I7:I44,I31,H7:H44,H7)</f>
        <v>0</v>
      </c>
    </row>
    <row r="23" spans="2:17" x14ac:dyDescent="0.35">
      <c r="B23" s="6">
        <v>150947</v>
      </c>
      <c r="C23" s="7" t="s">
        <v>72</v>
      </c>
      <c r="D23" s="7" t="s">
        <v>73</v>
      </c>
      <c r="E23" s="8">
        <v>33449</v>
      </c>
      <c r="F23" s="6" t="s">
        <v>18</v>
      </c>
      <c r="G23" s="7" t="s">
        <v>19</v>
      </c>
      <c r="H23" s="7" t="s">
        <v>65</v>
      </c>
      <c r="I23" s="7" t="s">
        <v>34</v>
      </c>
      <c r="J23" s="5">
        <v>85000</v>
      </c>
      <c r="M23" s="7" t="s">
        <v>26</v>
      </c>
      <c r="N23" s="5">
        <f>SUMIFS(J8:J45,I8:I45,I8,H8:H45,H8)</f>
        <v>183000</v>
      </c>
      <c r="O23" s="5">
        <f>SUMIFS(J7:J44,I7:I44,I10,H7:H44,H8)</f>
        <v>82000</v>
      </c>
      <c r="P23" s="5">
        <f>SUMIFS(J7:J44,I7:I44,I28,H7:H44,H8)</f>
        <v>92000</v>
      </c>
      <c r="Q23" s="5">
        <f>SUMIFS(J7:J44,I7:I44,I25,H7:H44,H8)</f>
        <v>45000</v>
      </c>
    </row>
    <row r="24" spans="2:17" x14ac:dyDescent="0.35">
      <c r="B24" s="6">
        <v>150905</v>
      </c>
      <c r="C24" s="7" t="s">
        <v>74</v>
      </c>
      <c r="D24" s="7" t="s">
        <v>75</v>
      </c>
      <c r="E24" s="8">
        <v>30819</v>
      </c>
      <c r="F24" s="6" t="s">
        <v>18</v>
      </c>
      <c r="G24" s="7" t="s">
        <v>25</v>
      </c>
      <c r="H24" s="7" t="s">
        <v>20</v>
      </c>
      <c r="I24" s="7" t="s">
        <v>34</v>
      </c>
      <c r="J24" s="5">
        <v>62000</v>
      </c>
      <c r="M24" s="7" t="s">
        <v>33</v>
      </c>
      <c r="N24" s="5">
        <f t="shared" ref="N24:N32" si="0">SUMIFS(J9:J46,I9:I46,I9,H9:H46,H9)</f>
        <v>148000</v>
      </c>
      <c r="O24" s="5">
        <f t="shared" ref="O24:O32" si="1">SUMIFS(J8:J45,I8:I45,I11,H8:H45,H9)</f>
        <v>183000</v>
      </c>
      <c r="P24" s="5">
        <f t="shared" ref="P24:P32" si="2">SUMIFS(J8:J45,I8:I45,I29,H8:H45,H9)</f>
        <v>92000</v>
      </c>
      <c r="Q24" s="5">
        <f t="shared" ref="Q24:Q32" si="3">SUMIFS(J8:J45,I8:I45,I26,H8:H45,H9)</f>
        <v>82000</v>
      </c>
    </row>
    <row r="25" spans="2:17" x14ac:dyDescent="0.35">
      <c r="B25" s="6">
        <v>150995</v>
      </c>
      <c r="C25" s="7" t="s">
        <v>76</v>
      </c>
      <c r="D25" s="7" t="s">
        <v>77</v>
      </c>
      <c r="E25" s="8">
        <v>35330</v>
      </c>
      <c r="F25" s="6" t="s">
        <v>32</v>
      </c>
      <c r="G25" s="7" t="s">
        <v>19</v>
      </c>
      <c r="H25" s="7" t="s">
        <v>33</v>
      </c>
      <c r="I25" s="7" t="s">
        <v>46</v>
      </c>
      <c r="J25" s="5">
        <v>15000</v>
      </c>
      <c r="M25" s="7" t="s">
        <v>38</v>
      </c>
      <c r="N25" s="5">
        <f t="shared" si="0"/>
        <v>154000</v>
      </c>
      <c r="O25" s="5">
        <f t="shared" si="1"/>
        <v>50000</v>
      </c>
      <c r="P25" s="5">
        <f t="shared" si="2"/>
        <v>154000</v>
      </c>
      <c r="Q25" s="5">
        <f t="shared" si="3"/>
        <v>154000</v>
      </c>
    </row>
    <row r="26" spans="2:17" x14ac:dyDescent="0.35">
      <c r="B26" s="6">
        <v>150912</v>
      </c>
      <c r="C26" s="7" t="s">
        <v>78</v>
      </c>
      <c r="D26" s="7" t="s">
        <v>79</v>
      </c>
      <c r="E26" s="8">
        <v>37629</v>
      </c>
      <c r="F26" s="6" t="s">
        <v>18</v>
      </c>
      <c r="G26" s="7" t="s">
        <v>19</v>
      </c>
      <c r="H26" s="7" t="s">
        <v>80</v>
      </c>
      <c r="I26" s="7" t="s">
        <v>34</v>
      </c>
      <c r="J26" s="5">
        <v>81000</v>
      </c>
      <c r="M26" s="7" t="s">
        <v>41</v>
      </c>
      <c r="N26" s="5">
        <f t="shared" si="0"/>
        <v>22000</v>
      </c>
      <c r="O26" s="5">
        <f t="shared" si="1"/>
        <v>47000</v>
      </c>
      <c r="P26" s="5">
        <f t="shared" si="2"/>
        <v>47000</v>
      </c>
      <c r="Q26" s="5">
        <f t="shared" si="3"/>
        <v>27000</v>
      </c>
    </row>
    <row r="27" spans="2:17" x14ac:dyDescent="0.35">
      <c r="B27" s="6">
        <v>150921</v>
      </c>
      <c r="C27" s="7" t="s">
        <v>81</v>
      </c>
      <c r="D27" s="7" t="s">
        <v>82</v>
      </c>
      <c r="E27" s="8">
        <v>38092</v>
      </c>
      <c r="F27" s="6" t="s">
        <v>32</v>
      </c>
      <c r="G27" s="7" t="s">
        <v>19</v>
      </c>
      <c r="H27" s="7" t="s">
        <v>83</v>
      </c>
      <c r="I27" s="7" t="s">
        <v>34</v>
      </c>
      <c r="J27" s="5">
        <v>19000</v>
      </c>
      <c r="M27" s="7" t="s">
        <v>45</v>
      </c>
      <c r="N27" s="5">
        <f t="shared" si="0"/>
        <v>91000</v>
      </c>
      <c r="O27" s="5">
        <f t="shared" si="1"/>
        <v>0</v>
      </c>
      <c r="P27" s="5">
        <f t="shared" si="2"/>
        <v>87000</v>
      </c>
      <c r="Q27" s="5">
        <f t="shared" si="3"/>
        <v>0</v>
      </c>
    </row>
    <row r="28" spans="2:17" x14ac:dyDescent="0.35">
      <c r="B28" s="6">
        <v>150851</v>
      </c>
      <c r="C28" s="7" t="s">
        <v>84</v>
      </c>
      <c r="D28" s="7" t="s">
        <v>85</v>
      </c>
      <c r="E28" s="8">
        <v>29368</v>
      </c>
      <c r="F28" s="6" t="s">
        <v>32</v>
      </c>
      <c r="G28" s="7" t="s">
        <v>25</v>
      </c>
      <c r="H28" s="7" t="s">
        <v>33</v>
      </c>
      <c r="I28" s="7" t="s">
        <v>52</v>
      </c>
      <c r="J28" s="5">
        <v>75000</v>
      </c>
      <c r="M28" s="7" t="s">
        <v>62</v>
      </c>
      <c r="N28" s="5">
        <f t="shared" si="0"/>
        <v>77000</v>
      </c>
      <c r="O28" s="5">
        <f t="shared" si="1"/>
        <v>43000</v>
      </c>
      <c r="P28" s="5">
        <f t="shared" si="2"/>
        <v>37000</v>
      </c>
      <c r="Q28" s="5">
        <f t="shared" si="3"/>
        <v>37000</v>
      </c>
    </row>
    <row r="29" spans="2:17" x14ac:dyDescent="0.35">
      <c r="B29" s="6">
        <v>150867</v>
      </c>
      <c r="C29" s="7" t="s">
        <v>86</v>
      </c>
      <c r="D29" s="7" t="s">
        <v>87</v>
      </c>
      <c r="E29" s="8">
        <v>29028</v>
      </c>
      <c r="F29" s="6" t="s">
        <v>18</v>
      </c>
      <c r="G29" s="7" t="s">
        <v>25</v>
      </c>
      <c r="H29" s="7" t="s">
        <v>83</v>
      </c>
      <c r="I29" s="7" t="s">
        <v>52</v>
      </c>
      <c r="J29" s="5">
        <v>49000</v>
      </c>
      <c r="M29" s="7" t="s">
        <v>65</v>
      </c>
      <c r="N29" s="5">
        <f t="shared" si="0"/>
        <v>45000</v>
      </c>
      <c r="O29" s="5">
        <f t="shared" si="1"/>
        <v>81000</v>
      </c>
      <c r="P29" s="5">
        <f t="shared" si="2"/>
        <v>81000</v>
      </c>
      <c r="Q29" s="5">
        <f t="shared" si="3"/>
        <v>45000</v>
      </c>
    </row>
    <row r="30" spans="2:17" x14ac:dyDescent="0.35">
      <c r="B30" s="6">
        <v>150899</v>
      </c>
      <c r="C30" s="7" t="s">
        <v>88</v>
      </c>
      <c r="D30" s="7" t="s">
        <v>89</v>
      </c>
      <c r="E30" s="8">
        <v>37400</v>
      </c>
      <c r="F30" s="6" t="s">
        <v>32</v>
      </c>
      <c r="G30" s="7" t="s">
        <v>19</v>
      </c>
      <c r="H30" s="7" t="s">
        <v>65</v>
      </c>
      <c r="I30" s="7" t="s">
        <v>34</v>
      </c>
      <c r="J30" s="5">
        <v>50000</v>
      </c>
      <c r="M30" s="7" t="s">
        <v>80</v>
      </c>
      <c r="N30" s="5">
        <f t="shared" si="0"/>
        <v>92000</v>
      </c>
      <c r="O30" s="5">
        <f t="shared" si="1"/>
        <v>82000</v>
      </c>
      <c r="P30" s="5">
        <f t="shared" si="2"/>
        <v>92000</v>
      </c>
      <c r="Q30" s="5">
        <f t="shared" si="3"/>
        <v>82000</v>
      </c>
    </row>
    <row r="31" spans="2:17" x14ac:dyDescent="0.35">
      <c r="B31" s="6">
        <v>150975</v>
      </c>
      <c r="C31" s="7" t="s">
        <v>90</v>
      </c>
      <c r="D31" s="7" t="s">
        <v>91</v>
      </c>
      <c r="E31" s="8">
        <v>31478</v>
      </c>
      <c r="F31" s="6" t="s">
        <v>32</v>
      </c>
      <c r="G31" s="7" t="s">
        <v>19</v>
      </c>
      <c r="H31" s="7" t="s">
        <v>83</v>
      </c>
      <c r="I31" s="7" t="s">
        <v>46</v>
      </c>
      <c r="J31" s="5">
        <v>83000</v>
      </c>
      <c r="M31" s="7" t="s">
        <v>83</v>
      </c>
      <c r="N31" s="5">
        <f t="shared" si="0"/>
        <v>50000</v>
      </c>
      <c r="O31" s="5">
        <f t="shared" si="1"/>
        <v>95000</v>
      </c>
      <c r="P31" s="5">
        <f t="shared" si="2"/>
        <v>95000</v>
      </c>
      <c r="Q31" s="5">
        <f t="shared" si="3"/>
        <v>67000</v>
      </c>
    </row>
    <row r="32" spans="2:17" x14ac:dyDescent="0.35">
      <c r="B32" s="6">
        <v>150901</v>
      </c>
      <c r="C32" s="7" t="s">
        <v>92</v>
      </c>
      <c r="D32" s="7" t="s">
        <v>93</v>
      </c>
      <c r="E32" s="8">
        <v>32946</v>
      </c>
      <c r="F32" s="6" t="s">
        <v>18</v>
      </c>
      <c r="G32" s="7" t="s">
        <v>19</v>
      </c>
      <c r="H32" s="7" t="s">
        <v>94</v>
      </c>
      <c r="I32" s="7" t="s">
        <v>34</v>
      </c>
      <c r="J32" s="5">
        <v>53000</v>
      </c>
      <c r="M32" s="7" t="s">
        <v>94</v>
      </c>
      <c r="N32" s="5">
        <f t="shared" si="0"/>
        <v>37000</v>
      </c>
      <c r="O32" s="5">
        <f t="shared" si="1"/>
        <v>43000</v>
      </c>
      <c r="P32" s="5">
        <f t="shared" si="2"/>
        <v>37000</v>
      </c>
      <c r="Q32" s="5">
        <f t="shared" si="3"/>
        <v>0</v>
      </c>
    </row>
    <row r="33" spans="2:10" x14ac:dyDescent="0.35">
      <c r="B33" s="6">
        <v>150968</v>
      </c>
      <c r="C33" s="7" t="s">
        <v>95</v>
      </c>
      <c r="D33" s="7" t="s">
        <v>96</v>
      </c>
      <c r="E33" s="8">
        <v>37208</v>
      </c>
      <c r="F33" s="6" t="s">
        <v>32</v>
      </c>
      <c r="G33" s="7" t="s">
        <v>19</v>
      </c>
      <c r="H33" s="7" t="s">
        <v>80</v>
      </c>
      <c r="I33" s="7" t="s">
        <v>34</v>
      </c>
      <c r="J33" s="5">
        <v>65000</v>
      </c>
    </row>
    <row r="34" spans="2:10" x14ac:dyDescent="0.35">
      <c r="B34" s="6">
        <v>150773</v>
      </c>
      <c r="C34" s="7" t="s">
        <v>97</v>
      </c>
      <c r="D34" s="7" t="s">
        <v>98</v>
      </c>
      <c r="E34" s="8">
        <v>26860</v>
      </c>
      <c r="F34" s="6" t="s">
        <v>32</v>
      </c>
      <c r="G34" s="7" t="s">
        <v>19</v>
      </c>
      <c r="H34" s="7" t="s">
        <v>83</v>
      </c>
      <c r="I34" s="7" t="s">
        <v>21</v>
      </c>
      <c r="J34" s="5">
        <v>85000</v>
      </c>
    </row>
    <row r="35" spans="2:10" x14ac:dyDescent="0.35">
      <c r="B35" s="6">
        <v>150840</v>
      </c>
      <c r="C35" s="7" t="s">
        <v>67</v>
      </c>
      <c r="D35" s="7" t="s">
        <v>99</v>
      </c>
      <c r="E35" s="8">
        <v>23136</v>
      </c>
      <c r="F35" s="6" t="s">
        <v>18</v>
      </c>
      <c r="G35" s="7" t="s">
        <v>19</v>
      </c>
      <c r="H35" s="7" t="s">
        <v>33</v>
      </c>
      <c r="I35" s="7" t="s">
        <v>52</v>
      </c>
      <c r="J35" s="5">
        <v>20000</v>
      </c>
    </row>
    <row r="36" spans="2:10" x14ac:dyDescent="0.35">
      <c r="B36" s="6">
        <v>150850</v>
      </c>
      <c r="C36" s="7" t="s">
        <v>57</v>
      </c>
      <c r="D36" s="7" t="s">
        <v>100</v>
      </c>
      <c r="E36" s="8">
        <v>32027</v>
      </c>
      <c r="F36" s="6" t="s">
        <v>32</v>
      </c>
      <c r="G36" s="7" t="s">
        <v>19</v>
      </c>
      <c r="H36" s="7" t="s">
        <v>65</v>
      </c>
      <c r="I36" s="7" t="s">
        <v>52</v>
      </c>
      <c r="J36" s="5">
        <v>47000</v>
      </c>
    </row>
    <row r="37" spans="2:10" x14ac:dyDescent="0.35">
      <c r="B37" s="6">
        <v>150962</v>
      </c>
      <c r="C37" s="7" t="s">
        <v>101</v>
      </c>
      <c r="D37" s="7" t="s">
        <v>102</v>
      </c>
      <c r="E37" s="8">
        <v>37773</v>
      </c>
      <c r="F37" s="6" t="s">
        <v>18</v>
      </c>
      <c r="G37" s="7" t="s">
        <v>19</v>
      </c>
      <c r="H37" s="7" t="s">
        <v>41</v>
      </c>
      <c r="I37" s="7" t="s">
        <v>34</v>
      </c>
      <c r="J37" s="5">
        <v>87000</v>
      </c>
    </row>
    <row r="38" spans="2:10" x14ac:dyDescent="0.35">
      <c r="B38" s="6">
        <v>150954</v>
      </c>
      <c r="C38" s="7" t="s">
        <v>103</v>
      </c>
      <c r="D38" s="7" t="s">
        <v>102</v>
      </c>
      <c r="E38" s="8">
        <v>35495</v>
      </c>
      <c r="F38" s="6" t="s">
        <v>18</v>
      </c>
      <c r="G38" s="7" t="s">
        <v>19</v>
      </c>
      <c r="H38" s="7" t="s">
        <v>94</v>
      </c>
      <c r="I38" s="7" t="s">
        <v>34</v>
      </c>
      <c r="J38" s="5">
        <v>57000</v>
      </c>
    </row>
    <row r="39" spans="2:10" x14ac:dyDescent="0.35">
      <c r="B39" s="6">
        <v>150874</v>
      </c>
      <c r="C39" s="7" t="s">
        <v>104</v>
      </c>
      <c r="D39" s="7" t="s">
        <v>102</v>
      </c>
      <c r="E39" s="8">
        <v>37890</v>
      </c>
      <c r="F39" s="6" t="s">
        <v>18</v>
      </c>
      <c r="G39" s="7" t="s">
        <v>19</v>
      </c>
      <c r="H39" s="7" t="s">
        <v>38</v>
      </c>
      <c r="I39" s="7" t="s">
        <v>52</v>
      </c>
      <c r="J39" s="5">
        <v>27000</v>
      </c>
    </row>
    <row r="40" spans="2:10" x14ac:dyDescent="0.35">
      <c r="B40" s="6">
        <v>150798</v>
      </c>
      <c r="C40" s="7" t="s">
        <v>105</v>
      </c>
      <c r="D40" s="7" t="s">
        <v>102</v>
      </c>
      <c r="E40" s="8">
        <v>28276</v>
      </c>
      <c r="F40" s="6" t="s">
        <v>18</v>
      </c>
      <c r="G40" s="7" t="s">
        <v>19</v>
      </c>
      <c r="H40" s="7" t="s">
        <v>26</v>
      </c>
      <c r="I40" s="7" t="s">
        <v>21</v>
      </c>
      <c r="J40" s="5">
        <v>81000</v>
      </c>
    </row>
    <row r="41" spans="2:10" x14ac:dyDescent="0.35">
      <c r="B41" s="6">
        <v>150830</v>
      </c>
      <c r="C41" s="7" t="s">
        <v>106</v>
      </c>
      <c r="D41" s="7" t="s">
        <v>107</v>
      </c>
      <c r="E41" s="8">
        <v>29037</v>
      </c>
      <c r="F41" s="6" t="s">
        <v>18</v>
      </c>
      <c r="G41" s="7" t="s">
        <v>19</v>
      </c>
      <c r="H41" s="7" t="s">
        <v>94</v>
      </c>
      <c r="I41" s="7" t="s">
        <v>21</v>
      </c>
      <c r="J41" s="5">
        <v>52000</v>
      </c>
    </row>
    <row r="42" spans="2:10" x14ac:dyDescent="0.35">
      <c r="B42" s="6">
        <v>150929</v>
      </c>
      <c r="C42" s="7" t="s">
        <v>108</v>
      </c>
      <c r="D42" s="7" t="s">
        <v>109</v>
      </c>
      <c r="E42" s="8">
        <v>26739</v>
      </c>
      <c r="F42" s="6" t="s">
        <v>32</v>
      </c>
      <c r="G42" s="7" t="s">
        <v>19</v>
      </c>
      <c r="H42" s="7" t="s">
        <v>38</v>
      </c>
      <c r="I42" s="7" t="s">
        <v>34</v>
      </c>
      <c r="J42" s="5">
        <v>58000</v>
      </c>
    </row>
    <row r="43" spans="2:10" x14ac:dyDescent="0.35">
      <c r="B43" s="6">
        <v>150982</v>
      </c>
      <c r="C43" s="7" t="s">
        <v>110</v>
      </c>
      <c r="D43" s="7" t="s">
        <v>111</v>
      </c>
      <c r="E43" s="8">
        <v>35574</v>
      </c>
      <c r="F43" s="6" t="s">
        <v>32</v>
      </c>
      <c r="G43" s="7" t="s">
        <v>19</v>
      </c>
      <c r="H43" s="7" t="s">
        <v>38</v>
      </c>
      <c r="I43" s="7" t="s">
        <v>46</v>
      </c>
      <c r="J43" s="5">
        <v>47000</v>
      </c>
    </row>
    <row r="44" spans="2:10" x14ac:dyDescent="0.35">
      <c r="B44" s="6">
        <v>150821</v>
      </c>
      <c r="C44" s="7" t="s">
        <v>112</v>
      </c>
      <c r="D44" s="7" t="s">
        <v>113</v>
      </c>
      <c r="E44" s="8">
        <v>29966</v>
      </c>
      <c r="F44" s="6" t="s">
        <v>32</v>
      </c>
      <c r="G44" s="7" t="s">
        <v>25</v>
      </c>
      <c r="H44" s="7" t="s">
        <v>65</v>
      </c>
      <c r="I44" s="7" t="s">
        <v>21</v>
      </c>
      <c r="J44" s="5">
        <v>26000</v>
      </c>
    </row>
  </sheetData>
  <mergeCells count="3">
    <mergeCell ref="M2:N2"/>
    <mergeCell ref="M10:N10"/>
    <mergeCell ref="M20:N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95819-DBBC-4966-B970-F8D9BE3BA67C}">
  <dimension ref="B2:O46"/>
  <sheetViews>
    <sheetView workbookViewId="0">
      <selection activeCell="I6" sqref="I6"/>
    </sheetView>
  </sheetViews>
  <sheetFormatPr defaultRowHeight="14.5" x14ac:dyDescent="0.35"/>
  <cols>
    <col min="5" max="5" width="9.81640625" bestFit="1" customWidth="1"/>
    <col min="10" max="10" width="10.7265625" bestFit="1" customWidth="1"/>
    <col min="12" max="12" width="12.36328125" bestFit="1" customWidth="1"/>
    <col min="13" max="13" width="10.90625" bestFit="1" customWidth="1"/>
  </cols>
  <sheetData>
    <row r="2" spans="2:15" x14ac:dyDescent="0.35">
      <c r="B2" s="9">
        <v>1</v>
      </c>
      <c r="C2" s="9" t="s">
        <v>114</v>
      </c>
    </row>
    <row r="3" spans="2:15" x14ac:dyDescent="0.35">
      <c r="B3" s="9">
        <v>2</v>
      </c>
      <c r="C3" s="9" t="s">
        <v>115</v>
      </c>
    </row>
    <row r="4" spans="2:15" x14ac:dyDescent="0.35">
      <c r="B4" s="9">
        <v>3</v>
      </c>
      <c r="C4" s="9" t="s">
        <v>116</v>
      </c>
    </row>
    <row r="5" spans="2:15" x14ac:dyDescent="0.35">
      <c r="B5" s="9">
        <v>4</v>
      </c>
      <c r="C5" s="9" t="s">
        <v>117</v>
      </c>
    </row>
    <row r="6" spans="2:15" x14ac:dyDescent="0.35">
      <c r="B6" s="9">
        <v>5</v>
      </c>
      <c r="C6" s="9" t="s">
        <v>118</v>
      </c>
    </row>
    <row r="8" spans="2:15" x14ac:dyDescent="0.35"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4" t="s">
        <v>12</v>
      </c>
      <c r="I8" s="4" t="s">
        <v>13</v>
      </c>
      <c r="J8" s="4" t="s">
        <v>14</v>
      </c>
      <c r="K8" s="10" t="s">
        <v>119</v>
      </c>
      <c r="L8" s="4" t="s">
        <v>120</v>
      </c>
      <c r="M8" s="4" t="s">
        <v>121</v>
      </c>
      <c r="N8" s="10" t="s">
        <v>122</v>
      </c>
      <c r="O8" s="4" t="s">
        <v>123</v>
      </c>
    </row>
    <row r="9" spans="2:15" x14ac:dyDescent="0.35">
      <c r="B9" s="6">
        <v>150834</v>
      </c>
      <c r="C9" s="7" t="s">
        <v>16</v>
      </c>
      <c r="D9" s="7" t="s">
        <v>17</v>
      </c>
      <c r="E9" s="8">
        <v>31199</v>
      </c>
      <c r="F9" s="6" t="s">
        <v>18</v>
      </c>
      <c r="G9" s="7" t="s">
        <v>19</v>
      </c>
      <c r="H9" s="7" t="s">
        <v>20</v>
      </c>
      <c r="I9" s="7" t="s">
        <v>21</v>
      </c>
      <c r="J9" s="5">
        <v>48000</v>
      </c>
      <c r="K9" s="5">
        <f>J9*45%</f>
        <v>21600</v>
      </c>
      <c r="L9" s="5">
        <f>1000+J9*5%</f>
        <v>3400</v>
      </c>
      <c r="M9" s="5">
        <f>SUM(J9:L9)</f>
        <v>73000</v>
      </c>
      <c r="N9" s="5">
        <f>J9*5%</f>
        <v>2400</v>
      </c>
      <c r="O9" s="5">
        <f>SUM(J9:N9)</f>
        <v>148400</v>
      </c>
    </row>
    <row r="10" spans="2:15" x14ac:dyDescent="0.35">
      <c r="B10" s="6">
        <v>150784</v>
      </c>
      <c r="C10" s="7" t="s">
        <v>23</v>
      </c>
      <c r="D10" s="7" t="s">
        <v>24</v>
      </c>
      <c r="E10" s="8">
        <v>28365</v>
      </c>
      <c r="F10" s="6" t="s">
        <v>18</v>
      </c>
      <c r="G10" s="7" t="s">
        <v>25</v>
      </c>
      <c r="H10" s="7" t="s">
        <v>26</v>
      </c>
      <c r="I10" s="7" t="s">
        <v>21</v>
      </c>
      <c r="J10" s="5">
        <v>35000</v>
      </c>
      <c r="K10" s="5">
        <f t="shared" ref="K10:K46" si="0">J10*45%</f>
        <v>15750</v>
      </c>
      <c r="L10" s="5">
        <f t="shared" ref="L10:L46" si="1">1000+J10*5%</f>
        <v>2750</v>
      </c>
      <c r="M10" s="5">
        <f t="shared" ref="M10:M46" si="2">SUM(J10:L10)</f>
        <v>53500</v>
      </c>
      <c r="N10" s="5">
        <f t="shared" ref="N10:N46" si="3">J10*5%</f>
        <v>1750</v>
      </c>
      <c r="O10" s="5">
        <f t="shared" ref="O10:O46" si="4">SUM(J10:N10)</f>
        <v>108750</v>
      </c>
    </row>
    <row r="11" spans="2:15" x14ac:dyDescent="0.35">
      <c r="B11" s="6">
        <v>150791</v>
      </c>
      <c r="C11" s="7" t="s">
        <v>28</v>
      </c>
      <c r="D11" s="7" t="s">
        <v>29</v>
      </c>
      <c r="E11" s="8">
        <v>23346</v>
      </c>
      <c r="F11" s="6" t="s">
        <v>18</v>
      </c>
      <c r="G11" s="7" t="s">
        <v>19</v>
      </c>
      <c r="H11" s="7" t="s">
        <v>26</v>
      </c>
      <c r="I11" s="7" t="s">
        <v>21</v>
      </c>
      <c r="J11" s="5">
        <v>67000</v>
      </c>
      <c r="K11" s="5">
        <f t="shared" si="0"/>
        <v>30150</v>
      </c>
      <c r="L11" s="5">
        <f t="shared" si="1"/>
        <v>4350</v>
      </c>
      <c r="M11" s="5">
        <f t="shared" si="2"/>
        <v>101500</v>
      </c>
      <c r="N11" s="5">
        <f t="shared" si="3"/>
        <v>3350</v>
      </c>
      <c r="O11" s="5">
        <f t="shared" si="4"/>
        <v>206350</v>
      </c>
    </row>
    <row r="12" spans="2:15" x14ac:dyDescent="0.35">
      <c r="B12" s="6">
        <v>150940</v>
      </c>
      <c r="C12" s="7" t="s">
        <v>30</v>
      </c>
      <c r="D12" s="7" t="s">
        <v>31</v>
      </c>
      <c r="E12" s="8">
        <v>26906</v>
      </c>
      <c r="F12" s="6" t="s">
        <v>32</v>
      </c>
      <c r="G12" s="7" t="s">
        <v>25</v>
      </c>
      <c r="H12" s="7" t="s">
        <v>33</v>
      </c>
      <c r="I12" s="7" t="s">
        <v>34</v>
      </c>
      <c r="J12" s="5">
        <v>87000</v>
      </c>
      <c r="K12" s="5">
        <f t="shared" si="0"/>
        <v>39150</v>
      </c>
      <c r="L12" s="5">
        <f t="shared" si="1"/>
        <v>5350</v>
      </c>
      <c r="M12" s="5">
        <f t="shared" si="2"/>
        <v>131500</v>
      </c>
      <c r="N12" s="5">
        <f t="shared" si="3"/>
        <v>4350</v>
      </c>
      <c r="O12" s="5">
        <f t="shared" si="4"/>
        <v>267350</v>
      </c>
    </row>
    <row r="13" spans="2:15" x14ac:dyDescent="0.35">
      <c r="B13" s="6">
        <v>150777</v>
      </c>
      <c r="C13" s="7" t="s">
        <v>36</v>
      </c>
      <c r="D13" s="7" t="s">
        <v>37</v>
      </c>
      <c r="E13" s="8">
        <v>21123</v>
      </c>
      <c r="F13" s="6" t="s">
        <v>32</v>
      </c>
      <c r="G13" s="7" t="s">
        <v>19</v>
      </c>
      <c r="H13" s="7" t="s">
        <v>38</v>
      </c>
      <c r="I13" s="7" t="s">
        <v>21</v>
      </c>
      <c r="J13" s="5">
        <v>22000</v>
      </c>
      <c r="K13" s="5">
        <f t="shared" si="0"/>
        <v>9900</v>
      </c>
      <c r="L13" s="5">
        <f t="shared" si="1"/>
        <v>2100</v>
      </c>
      <c r="M13" s="5">
        <f t="shared" si="2"/>
        <v>34000</v>
      </c>
      <c r="N13" s="5">
        <f t="shared" si="3"/>
        <v>1100</v>
      </c>
      <c r="O13" s="5">
        <f t="shared" si="4"/>
        <v>69100</v>
      </c>
    </row>
    <row r="14" spans="2:15" x14ac:dyDescent="0.35">
      <c r="B14" s="6">
        <v>150805</v>
      </c>
      <c r="C14" s="7" t="s">
        <v>28</v>
      </c>
      <c r="D14" s="7" t="s">
        <v>40</v>
      </c>
      <c r="E14" s="8">
        <v>26172</v>
      </c>
      <c r="F14" s="6" t="s">
        <v>32</v>
      </c>
      <c r="G14" s="7" t="s">
        <v>19</v>
      </c>
      <c r="H14" s="7" t="s">
        <v>41</v>
      </c>
      <c r="I14" s="7" t="s">
        <v>21</v>
      </c>
      <c r="J14" s="5">
        <v>91000</v>
      </c>
      <c r="K14" s="5">
        <f t="shared" si="0"/>
        <v>40950</v>
      </c>
      <c r="L14" s="5">
        <f t="shared" si="1"/>
        <v>5550</v>
      </c>
      <c r="M14" s="5">
        <f t="shared" si="2"/>
        <v>137500</v>
      </c>
      <c r="N14" s="5">
        <f t="shared" si="3"/>
        <v>4550</v>
      </c>
      <c r="O14" s="5">
        <f t="shared" si="4"/>
        <v>279550</v>
      </c>
    </row>
    <row r="15" spans="2:15" x14ac:dyDescent="0.35">
      <c r="B15" s="6">
        <v>150990</v>
      </c>
      <c r="C15" s="7" t="s">
        <v>43</v>
      </c>
      <c r="D15" s="7" t="s">
        <v>44</v>
      </c>
      <c r="E15" s="8">
        <v>36400</v>
      </c>
      <c r="F15" s="6" t="s">
        <v>32</v>
      </c>
      <c r="G15" s="7" t="s">
        <v>19</v>
      </c>
      <c r="H15" s="7" t="s">
        <v>45</v>
      </c>
      <c r="I15" s="7" t="s">
        <v>46</v>
      </c>
      <c r="J15" s="5">
        <v>77000</v>
      </c>
      <c r="K15" s="5">
        <f t="shared" si="0"/>
        <v>34650</v>
      </c>
      <c r="L15" s="5">
        <f t="shared" si="1"/>
        <v>4850</v>
      </c>
      <c r="M15" s="5">
        <f t="shared" si="2"/>
        <v>116500</v>
      </c>
      <c r="N15" s="5">
        <f t="shared" si="3"/>
        <v>3850</v>
      </c>
      <c r="O15" s="5">
        <f t="shared" si="4"/>
        <v>236850</v>
      </c>
    </row>
    <row r="16" spans="2:15" x14ac:dyDescent="0.35">
      <c r="B16" s="6">
        <v>150989</v>
      </c>
      <c r="C16" s="7" t="s">
        <v>48</v>
      </c>
      <c r="D16" s="7" t="s">
        <v>44</v>
      </c>
      <c r="E16" s="8">
        <v>33113</v>
      </c>
      <c r="F16" s="6" t="s">
        <v>32</v>
      </c>
      <c r="G16" s="7" t="s">
        <v>19</v>
      </c>
      <c r="H16" s="7" t="s">
        <v>26</v>
      </c>
      <c r="I16" s="7" t="s">
        <v>46</v>
      </c>
      <c r="J16" s="5">
        <v>45000</v>
      </c>
      <c r="K16" s="5">
        <f t="shared" si="0"/>
        <v>20250</v>
      </c>
      <c r="L16" s="5">
        <f t="shared" si="1"/>
        <v>3250</v>
      </c>
      <c r="M16" s="5">
        <f t="shared" si="2"/>
        <v>68500</v>
      </c>
      <c r="N16" s="5">
        <f t="shared" si="3"/>
        <v>2250</v>
      </c>
      <c r="O16" s="5">
        <f t="shared" si="4"/>
        <v>139250</v>
      </c>
    </row>
    <row r="17" spans="2:15" x14ac:dyDescent="0.35">
      <c r="B17" s="6">
        <v>150881</v>
      </c>
      <c r="C17" s="7" t="s">
        <v>50</v>
      </c>
      <c r="D17" s="7" t="s">
        <v>51</v>
      </c>
      <c r="E17" s="8">
        <v>30337</v>
      </c>
      <c r="F17" s="6" t="s">
        <v>32</v>
      </c>
      <c r="G17" s="7" t="s">
        <v>25</v>
      </c>
      <c r="H17" s="7" t="s">
        <v>26</v>
      </c>
      <c r="I17" s="7" t="s">
        <v>52</v>
      </c>
      <c r="J17" s="5">
        <v>92000</v>
      </c>
      <c r="K17" s="5">
        <f t="shared" si="0"/>
        <v>41400</v>
      </c>
      <c r="L17" s="5">
        <f t="shared" si="1"/>
        <v>5600</v>
      </c>
      <c r="M17" s="5">
        <f t="shared" si="2"/>
        <v>139000</v>
      </c>
      <c r="N17" s="5">
        <f t="shared" si="3"/>
        <v>4600</v>
      </c>
      <c r="O17" s="5">
        <f t="shared" si="4"/>
        <v>282600</v>
      </c>
    </row>
    <row r="18" spans="2:15" x14ac:dyDescent="0.35">
      <c r="B18" s="6">
        <v>150814</v>
      </c>
      <c r="C18" s="7" t="s">
        <v>54</v>
      </c>
      <c r="D18" s="7" t="s">
        <v>55</v>
      </c>
      <c r="E18" s="8">
        <v>26246</v>
      </c>
      <c r="F18" s="6" t="s">
        <v>32</v>
      </c>
      <c r="G18" s="7" t="s">
        <v>19</v>
      </c>
      <c r="H18" s="7" t="s">
        <v>33</v>
      </c>
      <c r="I18" s="7" t="s">
        <v>21</v>
      </c>
      <c r="J18" s="5">
        <v>50000</v>
      </c>
      <c r="K18" s="5">
        <f t="shared" si="0"/>
        <v>22500</v>
      </c>
      <c r="L18" s="5">
        <f t="shared" si="1"/>
        <v>3500</v>
      </c>
      <c r="M18" s="5">
        <f t="shared" si="2"/>
        <v>76000</v>
      </c>
      <c r="N18" s="5">
        <f t="shared" si="3"/>
        <v>2500</v>
      </c>
      <c r="O18" s="5">
        <f t="shared" si="4"/>
        <v>154500</v>
      </c>
    </row>
    <row r="19" spans="2:15" x14ac:dyDescent="0.35">
      <c r="B19" s="6">
        <v>150937</v>
      </c>
      <c r="C19" s="7" t="s">
        <v>57</v>
      </c>
      <c r="D19" s="7" t="s">
        <v>58</v>
      </c>
      <c r="E19" s="8">
        <v>24700</v>
      </c>
      <c r="F19" s="6" t="s">
        <v>32</v>
      </c>
      <c r="G19" s="7" t="s">
        <v>19</v>
      </c>
      <c r="H19" s="7" t="s">
        <v>45</v>
      </c>
      <c r="I19" s="7" t="s">
        <v>34</v>
      </c>
      <c r="J19" s="5">
        <v>37000</v>
      </c>
      <c r="K19" s="5">
        <f t="shared" si="0"/>
        <v>16650</v>
      </c>
      <c r="L19" s="5">
        <f t="shared" si="1"/>
        <v>2850</v>
      </c>
      <c r="M19" s="5">
        <f t="shared" si="2"/>
        <v>56500</v>
      </c>
      <c r="N19" s="5">
        <f t="shared" si="3"/>
        <v>1850</v>
      </c>
      <c r="O19" s="5">
        <f t="shared" si="4"/>
        <v>114850</v>
      </c>
    </row>
    <row r="20" spans="2:15" x14ac:dyDescent="0.35">
      <c r="B20" s="6">
        <v>150888</v>
      </c>
      <c r="C20" s="7" t="s">
        <v>59</v>
      </c>
      <c r="D20" s="7" t="s">
        <v>60</v>
      </c>
      <c r="E20" s="8">
        <v>29221</v>
      </c>
      <c r="F20" s="6" t="s">
        <v>32</v>
      </c>
      <c r="G20" s="7" t="s">
        <v>19</v>
      </c>
      <c r="H20" s="7" t="s">
        <v>45</v>
      </c>
      <c r="I20" s="7" t="s">
        <v>52</v>
      </c>
      <c r="J20" s="5">
        <v>43000</v>
      </c>
      <c r="K20" s="5">
        <f t="shared" si="0"/>
        <v>19350</v>
      </c>
      <c r="L20" s="5">
        <f t="shared" si="1"/>
        <v>3150</v>
      </c>
      <c r="M20" s="5">
        <f t="shared" si="2"/>
        <v>65500</v>
      </c>
      <c r="N20" s="5">
        <f t="shared" si="3"/>
        <v>2150</v>
      </c>
      <c r="O20" s="5">
        <f t="shared" si="4"/>
        <v>133150</v>
      </c>
    </row>
    <row r="21" spans="2:15" x14ac:dyDescent="0.35">
      <c r="B21" s="6">
        <v>150865</v>
      </c>
      <c r="C21" s="7" t="s">
        <v>61</v>
      </c>
      <c r="D21" s="7" t="s">
        <v>60</v>
      </c>
      <c r="E21" s="8">
        <v>31279</v>
      </c>
      <c r="F21" s="6" t="s">
        <v>18</v>
      </c>
      <c r="G21" s="7" t="s">
        <v>19</v>
      </c>
      <c r="H21" s="7" t="s">
        <v>62</v>
      </c>
      <c r="I21" s="7" t="s">
        <v>52</v>
      </c>
      <c r="J21" s="5">
        <v>90000</v>
      </c>
      <c r="K21" s="5">
        <f t="shared" si="0"/>
        <v>40500</v>
      </c>
      <c r="L21" s="5">
        <f t="shared" si="1"/>
        <v>5500</v>
      </c>
      <c r="M21" s="5">
        <f t="shared" si="2"/>
        <v>136000</v>
      </c>
      <c r="N21" s="5">
        <f t="shared" si="3"/>
        <v>4500</v>
      </c>
      <c r="O21" s="5">
        <f t="shared" si="4"/>
        <v>276500</v>
      </c>
    </row>
    <row r="22" spans="2:15" x14ac:dyDescent="0.35">
      <c r="B22" s="6">
        <v>150858</v>
      </c>
      <c r="C22" s="7" t="s">
        <v>63</v>
      </c>
      <c r="D22" s="7" t="s">
        <v>64</v>
      </c>
      <c r="E22" s="8">
        <v>34846</v>
      </c>
      <c r="F22" s="6" t="s">
        <v>32</v>
      </c>
      <c r="G22" s="7" t="s">
        <v>19</v>
      </c>
      <c r="H22" s="7" t="s">
        <v>65</v>
      </c>
      <c r="I22" s="7" t="s">
        <v>52</v>
      </c>
      <c r="J22" s="5">
        <v>34000</v>
      </c>
      <c r="K22" s="5">
        <f t="shared" si="0"/>
        <v>15300</v>
      </c>
      <c r="L22" s="5">
        <f t="shared" si="1"/>
        <v>2700</v>
      </c>
      <c r="M22" s="5">
        <f t="shared" si="2"/>
        <v>52000</v>
      </c>
      <c r="N22" s="5">
        <f t="shared" si="3"/>
        <v>1700</v>
      </c>
      <c r="O22" s="5">
        <f t="shared" si="4"/>
        <v>105700</v>
      </c>
    </row>
    <row r="23" spans="2:15" x14ac:dyDescent="0.35">
      <c r="B23" s="6">
        <v>150930</v>
      </c>
      <c r="C23" s="7" t="s">
        <v>67</v>
      </c>
      <c r="D23" s="7" t="s">
        <v>68</v>
      </c>
      <c r="E23" s="8">
        <v>37027</v>
      </c>
      <c r="F23" s="6" t="s">
        <v>32</v>
      </c>
      <c r="G23" s="7" t="s">
        <v>19</v>
      </c>
      <c r="H23" s="7" t="s">
        <v>26</v>
      </c>
      <c r="I23" s="7" t="s">
        <v>34</v>
      </c>
      <c r="J23" s="5">
        <v>82000</v>
      </c>
      <c r="K23" s="5">
        <f t="shared" si="0"/>
        <v>36900</v>
      </c>
      <c r="L23" s="5">
        <f t="shared" si="1"/>
        <v>5100</v>
      </c>
      <c r="M23" s="5">
        <f t="shared" si="2"/>
        <v>124000</v>
      </c>
      <c r="N23" s="5">
        <f t="shared" si="3"/>
        <v>4100</v>
      </c>
      <c r="O23" s="5">
        <f t="shared" si="4"/>
        <v>252100</v>
      </c>
    </row>
    <row r="24" spans="2:15" x14ac:dyDescent="0.35">
      <c r="B24" s="6">
        <v>150894</v>
      </c>
      <c r="C24" s="7" t="s">
        <v>70</v>
      </c>
      <c r="D24" s="7" t="s">
        <v>71</v>
      </c>
      <c r="E24" s="8">
        <v>37124</v>
      </c>
      <c r="F24" s="6" t="s">
        <v>32</v>
      </c>
      <c r="G24" s="7" t="s">
        <v>19</v>
      </c>
      <c r="H24" s="7" t="s">
        <v>33</v>
      </c>
      <c r="I24" s="7" t="s">
        <v>34</v>
      </c>
      <c r="J24" s="5">
        <v>67000</v>
      </c>
      <c r="K24" s="5">
        <f t="shared" si="0"/>
        <v>30150</v>
      </c>
      <c r="L24" s="5">
        <f t="shared" si="1"/>
        <v>4350</v>
      </c>
      <c r="M24" s="5">
        <f t="shared" si="2"/>
        <v>101500</v>
      </c>
      <c r="N24" s="5">
        <f t="shared" si="3"/>
        <v>3350</v>
      </c>
      <c r="O24" s="5">
        <f t="shared" si="4"/>
        <v>206350</v>
      </c>
    </row>
    <row r="25" spans="2:15" x14ac:dyDescent="0.35">
      <c r="B25" s="6">
        <v>150947</v>
      </c>
      <c r="C25" s="7" t="s">
        <v>72</v>
      </c>
      <c r="D25" s="7" t="s">
        <v>73</v>
      </c>
      <c r="E25" s="8">
        <v>33449</v>
      </c>
      <c r="F25" s="6" t="s">
        <v>18</v>
      </c>
      <c r="G25" s="7" t="s">
        <v>19</v>
      </c>
      <c r="H25" s="7" t="s">
        <v>65</v>
      </c>
      <c r="I25" s="7" t="s">
        <v>34</v>
      </c>
      <c r="J25" s="5">
        <v>85000</v>
      </c>
      <c r="K25" s="5">
        <f t="shared" si="0"/>
        <v>38250</v>
      </c>
      <c r="L25" s="5">
        <f t="shared" si="1"/>
        <v>5250</v>
      </c>
      <c r="M25" s="5">
        <f t="shared" si="2"/>
        <v>128500</v>
      </c>
      <c r="N25" s="5">
        <f t="shared" si="3"/>
        <v>4250</v>
      </c>
      <c r="O25" s="5">
        <f t="shared" si="4"/>
        <v>261250</v>
      </c>
    </row>
    <row r="26" spans="2:15" x14ac:dyDescent="0.35">
      <c r="B26" s="6">
        <v>150905</v>
      </c>
      <c r="C26" s="7" t="s">
        <v>74</v>
      </c>
      <c r="D26" s="7" t="s">
        <v>75</v>
      </c>
      <c r="E26" s="8">
        <v>30819</v>
      </c>
      <c r="F26" s="6" t="s">
        <v>18</v>
      </c>
      <c r="G26" s="7" t="s">
        <v>25</v>
      </c>
      <c r="H26" s="7" t="s">
        <v>20</v>
      </c>
      <c r="I26" s="7" t="s">
        <v>34</v>
      </c>
      <c r="J26" s="5">
        <v>62000</v>
      </c>
      <c r="K26" s="5">
        <f t="shared" si="0"/>
        <v>27900</v>
      </c>
      <c r="L26" s="5">
        <f t="shared" si="1"/>
        <v>4100</v>
      </c>
      <c r="M26" s="5">
        <f t="shared" si="2"/>
        <v>94000</v>
      </c>
      <c r="N26" s="5">
        <f t="shared" si="3"/>
        <v>3100</v>
      </c>
      <c r="O26" s="5">
        <f t="shared" si="4"/>
        <v>191100</v>
      </c>
    </row>
    <row r="27" spans="2:15" x14ac:dyDescent="0.35">
      <c r="B27" s="6">
        <v>150995</v>
      </c>
      <c r="C27" s="7" t="s">
        <v>76</v>
      </c>
      <c r="D27" s="7" t="s">
        <v>77</v>
      </c>
      <c r="E27" s="8">
        <v>35330</v>
      </c>
      <c r="F27" s="6" t="s">
        <v>32</v>
      </c>
      <c r="G27" s="7" t="s">
        <v>19</v>
      </c>
      <c r="H27" s="7" t="s">
        <v>33</v>
      </c>
      <c r="I27" s="7" t="s">
        <v>46</v>
      </c>
      <c r="J27" s="5">
        <v>15000</v>
      </c>
      <c r="K27" s="5">
        <f t="shared" si="0"/>
        <v>6750</v>
      </c>
      <c r="L27" s="5">
        <f t="shared" si="1"/>
        <v>1750</v>
      </c>
      <c r="M27" s="5">
        <f t="shared" si="2"/>
        <v>23500</v>
      </c>
      <c r="N27" s="5">
        <f t="shared" si="3"/>
        <v>750</v>
      </c>
      <c r="O27" s="5">
        <f t="shared" si="4"/>
        <v>47750</v>
      </c>
    </row>
    <row r="28" spans="2:15" x14ac:dyDescent="0.35">
      <c r="B28" s="6">
        <v>150912</v>
      </c>
      <c r="C28" s="7" t="s">
        <v>78</v>
      </c>
      <c r="D28" s="7" t="s">
        <v>79</v>
      </c>
      <c r="E28" s="8">
        <v>37629</v>
      </c>
      <c r="F28" s="6" t="s">
        <v>18</v>
      </c>
      <c r="G28" s="7" t="s">
        <v>19</v>
      </c>
      <c r="H28" s="7" t="s">
        <v>80</v>
      </c>
      <c r="I28" s="7" t="s">
        <v>34</v>
      </c>
      <c r="J28" s="5">
        <v>81000</v>
      </c>
      <c r="K28" s="5">
        <f t="shared" si="0"/>
        <v>36450</v>
      </c>
      <c r="L28" s="5">
        <f t="shared" si="1"/>
        <v>5050</v>
      </c>
      <c r="M28" s="5">
        <f t="shared" si="2"/>
        <v>122500</v>
      </c>
      <c r="N28" s="5">
        <f t="shared" si="3"/>
        <v>4050</v>
      </c>
      <c r="O28" s="5">
        <f t="shared" si="4"/>
        <v>249050</v>
      </c>
    </row>
    <row r="29" spans="2:15" x14ac:dyDescent="0.35">
      <c r="B29" s="6">
        <v>150921</v>
      </c>
      <c r="C29" s="7" t="s">
        <v>81</v>
      </c>
      <c r="D29" s="7" t="s">
        <v>82</v>
      </c>
      <c r="E29" s="8">
        <v>38092</v>
      </c>
      <c r="F29" s="6" t="s">
        <v>32</v>
      </c>
      <c r="G29" s="7" t="s">
        <v>19</v>
      </c>
      <c r="H29" s="7" t="s">
        <v>83</v>
      </c>
      <c r="I29" s="7" t="s">
        <v>34</v>
      </c>
      <c r="J29" s="5">
        <v>19000</v>
      </c>
      <c r="K29" s="5">
        <f t="shared" si="0"/>
        <v>8550</v>
      </c>
      <c r="L29" s="5">
        <f t="shared" si="1"/>
        <v>1950</v>
      </c>
      <c r="M29" s="5">
        <f t="shared" si="2"/>
        <v>29500</v>
      </c>
      <c r="N29" s="5">
        <f t="shared" si="3"/>
        <v>950</v>
      </c>
      <c r="O29" s="5">
        <f t="shared" si="4"/>
        <v>59950</v>
      </c>
    </row>
    <row r="30" spans="2:15" x14ac:dyDescent="0.35">
      <c r="B30" s="6">
        <v>150851</v>
      </c>
      <c r="C30" s="7" t="s">
        <v>84</v>
      </c>
      <c r="D30" s="7" t="s">
        <v>85</v>
      </c>
      <c r="E30" s="8">
        <v>29368</v>
      </c>
      <c r="F30" s="6" t="s">
        <v>32</v>
      </c>
      <c r="G30" s="7" t="s">
        <v>25</v>
      </c>
      <c r="H30" s="7" t="s">
        <v>33</v>
      </c>
      <c r="I30" s="7" t="s">
        <v>52</v>
      </c>
      <c r="J30" s="5">
        <v>75000</v>
      </c>
      <c r="K30" s="5">
        <f t="shared" si="0"/>
        <v>33750</v>
      </c>
      <c r="L30" s="5">
        <f t="shared" si="1"/>
        <v>4750</v>
      </c>
      <c r="M30" s="5">
        <f t="shared" si="2"/>
        <v>113500</v>
      </c>
      <c r="N30" s="5">
        <f t="shared" si="3"/>
        <v>3750</v>
      </c>
      <c r="O30" s="5">
        <f t="shared" si="4"/>
        <v>230750</v>
      </c>
    </row>
    <row r="31" spans="2:15" x14ac:dyDescent="0.35">
      <c r="B31" s="6">
        <v>150867</v>
      </c>
      <c r="C31" s="7" t="s">
        <v>86</v>
      </c>
      <c r="D31" s="7" t="s">
        <v>87</v>
      </c>
      <c r="E31" s="8">
        <v>29028</v>
      </c>
      <c r="F31" s="6" t="s">
        <v>18</v>
      </c>
      <c r="G31" s="7" t="s">
        <v>25</v>
      </c>
      <c r="H31" s="7" t="s">
        <v>83</v>
      </c>
      <c r="I31" s="7" t="s">
        <v>52</v>
      </c>
      <c r="J31" s="5">
        <v>49000</v>
      </c>
      <c r="K31" s="5">
        <f t="shared" si="0"/>
        <v>22050</v>
      </c>
      <c r="L31" s="5">
        <f t="shared" si="1"/>
        <v>3450</v>
      </c>
      <c r="M31" s="5">
        <f t="shared" si="2"/>
        <v>74500</v>
      </c>
      <c r="N31" s="5">
        <f t="shared" si="3"/>
        <v>2450</v>
      </c>
      <c r="O31" s="5">
        <f t="shared" si="4"/>
        <v>151450</v>
      </c>
    </row>
    <row r="32" spans="2:15" x14ac:dyDescent="0.35">
      <c r="B32" s="6">
        <v>150899</v>
      </c>
      <c r="C32" s="7" t="s">
        <v>88</v>
      </c>
      <c r="D32" s="7" t="s">
        <v>89</v>
      </c>
      <c r="E32" s="8">
        <v>37400</v>
      </c>
      <c r="F32" s="6" t="s">
        <v>32</v>
      </c>
      <c r="G32" s="7" t="s">
        <v>19</v>
      </c>
      <c r="H32" s="7" t="s">
        <v>65</v>
      </c>
      <c r="I32" s="7" t="s">
        <v>34</v>
      </c>
      <c r="J32" s="5">
        <v>50000</v>
      </c>
      <c r="K32" s="5">
        <f t="shared" si="0"/>
        <v>22500</v>
      </c>
      <c r="L32" s="5">
        <f t="shared" si="1"/>
        <v>3500</v>
      </c>
      <c r="M32" s="5">
        <f t="shared" si="2"/>
        <v>76000</v>
      </c>
      <c r="N32" s="5">
        <f t="shared" si="3"/>
        <v>2500</v>
      </c>
      <c r="O32" s="5">
        <f t="shared" si="4"/>
        <v>154500</v>
      </c>
    </row>
    <row r="33" spans="2:15" x14ac:dyDescent="0.35">
      <c r="B33" s="6">
        <v>150975</v>
      </c>
      <c r="C33" s="7" t="s">
        <v>90</v>
      </c>
      <c r="D33" s="7" t="s">
        <v>91</v>
      </c>
      <c r="E33" s="8">
        <v>31478</v>
      </c>
      <c r="F33" s="6" t="s">
        <v>32</v>
      </c>
      <c r="G33" s="7" t="s">
        <v>19</v>
      </c>
      <c r="H33" s="7" t="s">
        <v>83</v>
      </c>
      <c r="I33" s="7" t="s">
        <v>46</v>
      </c>
      <c r="J33" s="5">
        <v>83000</v>
      </c>
      <c r="K33" s="5">
        <f t="shared" si="0"/>
        <v>37350</v>
      </c>
      <c r="L33" s="5">
        <f t="shared" si="1"/>
        <v>5150</v>
      </c>
      <c r="M33" s="5">
        <f t="shared" si="2"/>
        <v>125500</v>
      </c>
      <c r="N33" s="5">
        <f t="shared" si="3"/>
        <v>4150</v>
      </c>
      <c r="O33" s="5">
        <f t="shared" si="4"/>
        <v>255150</v>
      </c>
    </row>
    <row r="34" spans="2:15" x14ac:dyDescent="0.35">
      <c r="B34" s="6">
        <v>150901</v>
      </c>
      <c r="C34" s="7" t="s">
        <v>92</v>
      </c>
      <c r="D34" s="7" t="s">
        <v>93</v>
      </c>
      <c r="E34" s="8">
        <v>32946</v>
      </c>
      <c r="F34" s="6" t="s">
        <v>18</v>
      </c>
      <c r="G34" s="7" t="s">
        <v>19</v>
      </c>
      <c r="H34" s="7" t="s">
        <v>94</v>
      </c>
      <c r="I34" s="7" t="s">
        <v>34</v>
      </c>
      <c r="J34" s="5">
        <v>53000</v>
      </c>
      <c r="K34" s="5">
        <f t="shared" si="0"/>
        <v>23850</v>
      </c>
      <c r="L34" s="5">
        <f t="shared" si="1"/>
        <v>3650</v>
      </c>
      <c r="M34" s="5">
        <f t="shared" si="2"/>
        <v>80500</v>
      </c>
      <c r="N34" s="5">
        <f t="shared" si="3"/>
        <v>2650</v>
      </c>
      <c r="O34" s="5">
        <f t="shared" si="4"/>
        <v>163650</v>
      </c>
    </row>
    <row r="35" spans="2:15" x14ac:dyDescent="0.35">
      <c r="B35" s="6">
        <v>150968</v>
      </c>
      <c r="C35" s="7" t="s">
        <v>95</v>
      </c>
      <c r="D35" s="7" t="s">
        <v>96</v>
      </c>
      <c r="E35" s="8">
        <v>37208</v>
      </c>
      <c r="F35" s="6" t="s">
        <v>32</v>
      </c>
      <c r="G35" s="7" t="s">
        <v>19</v>
      </c>
      <c r="H35" s="7" t="s">
        <v>80</v>
      </c>
      <c r="I35" s="7" t="s">
        <v>34</v>
      </c>
      <c r="J35" s="5">
        <v>65000</v>
      </c>
      <c r="K35" s="5">
        <f t="shared" si="0"/>
        <v>29250</v>
      </c>
      <c r="L35" s="5">
        <f t="shared" si="1"/>
        <v>4250</v>
      </c>
      <c r="M35" s="5">
        <f t="shared" si="2"/>
        <v>98500</v>
      </c>
      <c r="N35" s="5">
        <f t="shared" si="3"/>
        <v>3250</v>
      </c>
      <c r="O35" s="5">
        <f t="shared" si="4"/>
        <v>200250</v>
      </c>
    </row>
    <row r="36" spans="2:15" x14ac:dyDescent="0.35">
      <c r="B36" s="6">
        <v>150773</v>
      </c>
      <c r="C36" s="7" t="s">
        <v>97</v>
      </c>
      <c r="D36" s="7" t="s">
        <v>98</v>
      </c>
      <c r="E36" s="8">
        <v>26860</v>
      </c>
      <c r="F36" s="6" t="s">
        <v>32</v>
      </c>
      <c r="G36" s="7" t="s">
        <v>19</v>
      </c>
      <c r="H36" s="7" t="s">
        <v>83</v>
      </c>
      <c r="I36" s="7" t="s">
        <v>21</v>
      </c>
      <c r="J36" s="5">
        <v>85000</v>
      </c>
      <c r="K36" s="5">
        <f t="shared" si="0"/>
        <v>38250</v>
      </c>
      <c r="L36" s="5">
        <f t="shared" si="1"/>
        <v>5250</v>
      </c>
      <c r="M36" s="5">
        <f t="shared" si="2"/>
        <v>128500</v>
      </c>
      <c r="N36" s="5">
        <f t="shared" si="3"/>
        <v>4250</v>
      </c>
      <c r="O36" s="5">
        <f t="shared" si="4"/>
        <v>261250</v>
      </c>
    </row>
    <row r="37" spans="2:15" x14ac:dyDescent="0.35">
      <c r="B37" s="6">
        <v>150840</v>
      </c>
      <c r="C37" s="7" t="s">
        <v>67</v>
      </c>
      <c r="D37" s="7" t="s">
        <v>99</v>
      </c>
      <c r="E37" s="8">
        <v>23136</v>
      </c>
      <c r="F37" s="6" t="s">
        <v>18</v>
      </c>
      <c r="G37" s="7" t="s">
        <v>19</v>
      </c>
      <c r="H37" s="7" t="s">
        <v>33</v>
      </c>
      <c r="I37" s="7" t="s">
        <v>52</v>
      </c>
      <c r="J37" s="5">
        <v>20000</v>
      </c>
      <c r="K37" s="5">
        <f t="shared" si="0"/>
        <v>9000</v>
      </c>
      <c r="L37" s="5">
        <f t="shared" si="1"/>
        <v>2000</v>
      </c>
      <c r="M37" s="5">
        <f t="shared" si="2"/>
        <v>31000</v>
      </c>
      <c r="N37" s="5">
        <f t="shared" si="3"/>
        <v>1000</v>
      </c>
      <c r="O37" s="5">
        <f t="shared" si="4"/>
        <v>63000</v>
      </c>
    </row>
    <row r="38" spans="2:15" x14ac:dyDescent="0.35">
      <c r="B38" s="6">
        <v>150850</v>
      </c>
      <c r="C38" s="7" t="s">
        <v>57</v>
      </c>
      <c r="D38" s="7" t="s">
        <v>100</v>
      </c>
      <c r="E38" s="8">
        <v>32027</v>
      </c>
      <c r="F38" s="6" t="s">
        <v>32</v>
      </c>
      <c r="G38" s="7" t="s">
        <v>19</v>
      </c>
      <c r="H38" s="7" t="s">
        <v>65</v>
      </c>
      <c r="I38" s="7" t="s">
        <v>52</v>
      </c>
      <c r="J38" s="5">
        <v>47000</v>
      </c>
      <c r="K38" s="5">
        <f t="shared" si="0"/>
        <v>21150</v>
      </c>
      <c r="L38" s="5">
        <f t="shared" si="1"/>
        <v>3350</v>
      </c>
      <c r="M38" s="5">
        <f t="shared" si="2"/>
        <v>71500</v>
      </c>
      <c r="N38" s="5">
        <f t="shared" si="3"/>
        <v>2350</v>
      </c>
      <c r="O38" s="5">
        <f t="shared" si="4"/>
        <v>145350</v>
      </c>
    </row>
    <row r="39" spans="2:15" x14ac:dyDescent="0.35">
      <c r="B39" s="6">
        <v>150962</v>
      </c>
      <c r="C39" s="7" t="s">
        <v>101</v>
      </c>
      <c r="D39" s="7" t="s">
        <v>102</v>
      </c>
      <c r="E39" s="8">
        <v>37773</v>
      </c>
      <c r="F39" s="6" t="s">
        <v>18</v>
      </c>
      <c r="G39" s="7" t="s">
        <v>19</v>
      </c>
      <c r="H39" s="7" t="s">
        <v>41</v>
      </c>
      <c r="I39" s="7" t="s">
        <v>34</v>
      </c>
      <c r="J39" s="5">
        <v>87000</v>
      </c>
      <c r="K39" s="5">
        <f t="shared" si="0"/>
        <v>39150</v>
      </c>
      <c r="L39" s="5">
        <f t="shared" si="1"/>
        <v>5350</v>
      </c>
      <c r="M39" s="5">
        <f t="shared" si="2"/>
        <v>131500</v>
      </c>
      <c r="N39" s="5">
        <f t="shared" si="3"/>
        <v>4350</v>
      </c>
      <c r="O39" s="5">
        <f t="shared" si="4"/>
        <v>267350</v>
      </c>
    </row>
    <row r="40" spans="2:15" x14ac:dyDescent="0.35">
      <c r="B40" s="6">
        <v>150954</v>
      </c>
      <c r="C40" s="7" t="s">
        <v>103</v>
      </c>
      <c r="D40" s="7" t="s">
        <v>102</v>
      </c>
      <c r="E40" s="8">
        <v>35495</v>
      </c>
      <c r="F40" s="6" t="s">
        <v>18</v>
      </c>
      <c r="G40" s="7" t="s">
        <v>19</v>
      </c>
      <c r="H40" s="7" t="s">
        <v>94</v>
      </c>
      <c r="I40" s="7" t="s">
        <v>34</v>
      </c>
      <c r="J40" s="5">
        <v>57000</v>
      </c>
      <c r="K40" s="5">
        <f t="shared" si="0"/>
        <v>25650</v>
      </c>
      <c r="L40" s="5">
        <f t="shared" si="1"/>
        <v>3850</v>
      </c>
      <c r="M40" s="5">
        <f t="shared" si="2"/>
        <v>86500</v>
      </c>
      <c r="N40" s="5">
        <f t="shared" si="3"/>
        <v>2850</v>
      </c>
      <c r="O40" s="5">
        <f t="shared" si="4"/>
        <v>175850</v>
      </c>
    </row>
    <row r="41" spans="2:15" x14ac:dyDescent="0.35">
      <c r="B41" s="6">
        <v>150874</v>
      </c>
      <c r="C41" s="7" t="s">
        <v>104</v>
      </c>
      <c r="D41" s="7" t="s">
        <v>102</v>
      </c>
      <c r="E41" s="8">
        <v>37890</v>
      </c>
      <c r="F41" s="6" t="s">
        <v>18</v>
      </c>
      <c r="G41" s="7" t="s">
        <v>19</v>
      </c>
      <c r="H41" s="7" t="s">
        <v>38</v>
      </c>
      <c r="I41" s="7" t="s">
        <v>52</v>
      </c>
      <c r="J41" s="5">
        <v>27000</v>
      </c>
      <c r="K41" s="5">
        <f t="shared" si="0"/>
        <v>12150</v>
      </c>
      <c r="L41" s="5">
        <f t="shared" si="1"/>
        <v>2350</v>
      </c>
      <c r="M41" s="5">
        <f t="shared" si="2"/>
        <v>41500</v>
      </c>
      <c r="N41" s="5">
        <f t="shared" si="3"/>
        <v>1350</v>
      </c>
      <c r="O41" s="5">
        <f t="shared" si="4"/>
        <v>84350</v>
      </c>
    </row>
    <row r="42" spans="2:15" x14ac:dyDescent="0.35">
      <c r="B42" s="6">
        <v>150798</v>
      </c>
      <c r="C42" s="7" t="s">
        <v>105</v>
      </c>
      <c r="D42" s="7" t="s">
        <v>102</v>
      </c>
      <c r="E42" s="8">
        <v>28276</v>
      </c>
      <c r="F42" s="6" t="s">
        <v>18</v>
      </c>
      <c r="G42" s="7" t="s">
        <v>19</v>
      </c>
      <c r="H42" s="7" t="s">
        <v>26</v>
      </c>
      <c r="I42" s="7" t="s">
        <v>21</v>
      </c>
      <c r="J42" s="5">
        <v>81000</v>
      </c>
      <c r="K42" s="5">
        <f t="shared" si="0"/>
        <v>36450</v>
      </c>
      <c r="L42" s="5">
        <f t="shared" si="1"/>
        <v>5050</v>
      </c>
      <c r="M42" s="5">
        <f t="shared" si="2"/>
        <v>122500</v>
      </c>
      <c r="N42" s="5">
        <f t="shared" si="3"/>
        <v>4050</v>
      </c>
      <c r="O42" s="5">
        <f t="shared" si="4"/>
        <v>249050</v>
      </c>
    </row>
    <row r="43" spans="2:15" x14ac:dyDescent="0.35">
      <c r="B43" s="6">
        <v>150830</v>
      </c>
      <c r="C43" s="7" t="s">
        <v>106</v>
      </c>
      <c r="D43" s="7" t="s">
        <v>107</v>
      </c>
      <c r="E43" s="8">
        <v>29037</v>
      </c>
      <c r="F43" s="6" t="s">
        <v>18</v>
      </c>
      <c r="G43" s="7" t="s">
        <v>19</v>
      </c>
      <c r="H43" s="7" t="s">
        <v>94</v>
      </c>
      <c r="I43" s="7" t="s">
        <v>21</v>
      </c>
      <c r="J43" s="5">
        <v>52000</v>
      </c>
      <c r="K43" s="5">
        <f t="shared" si="0"/>
        <v>23400</v>
      </c>
      <c r="L43" s="5">
        <f t="shared" si="1"/>
        <v>3600</v>
      </c>
      <c r="M43" s="5">
        <f t="shared" si="2"/>
        <v>79000</v>
      </c>
      <c r="N43" s="5">
        <f t="shared" si="3"/>
        <v>2600</v>
      </c>
      <c r="O43" s="5">
        <f t="shared" si="4"/>
        <v>160600</v>
      </c>
    </row>
    <row r="44" spans="2:15" x14ac:dyDescent="0.35">
      <c r="B44" s="6">
        <v>150929</v>
      </c>
      <c r="C44" s="7" t="s">
        <v>108</v>
      </c>
      <c r="D44" s="7" t="s">
        <v>109</v>
      </c>
      <c r="E44" s="8">
        <v>26739</v>
      </c>
      <c r="F44" s="6" t="s">
        <v>32</v>
      </c>
      <c r="G44" s="7" t="s">
        <v>19</v>
      </c>
      <c r="H44" s="7" t="s">
        <v>38</v>
      </c>
      <c r="I44" s="7" t="s">
        <v>34</v>
      </c>
      <c r="J44" s="5">
        <v>58000</v>
      </c>
      <c r="K44" s="5">
        <f t="shared" si="0"/>
        <v>26100</v>
      </c>
      <c r="L44" s="5">
        <f t="shared" si="1"/>
        <v>3900</v>
      </c>
      <c r="M44" s="5">
        <f t="shared" si="2"/>
        <v>88000</v>
      </c>
      <c r="N44" s="5">
        <f t="shared" si="3"/>
        <v>2900</v>
      </c>
      <c r="O44" s="5">
        <f t="shared" si="4"/>
        <v>178900</v>
      </c>
    </row>
    <row r="45" spans="2:15" x14ac:dyDescent="0.35">
      <c r="B45" s="6">
        <v>150982</v>
      </c>
      <c r="C45" s="7" t="s">
        <v>110</v>
      </c>
      <c r="D45" s="7" t="s">
        <v>111</v>
      </c>
      <c r="E45" s="8">
        <v>35574</v>
      </c>
      <c r="F45" s="6" t="s">
        <v>32</v>
      </c>
      <c r="G45" s="7" t="s">
        <v>19</v>
      </c>
      <c r="H45" s="7" t="s">
        <v>38</v>
      </c>
      <c r="I45" s="7" t="s">
        <v>46</v>
      </c>
      <c r="J45" s="5">
        <v>47000</v>
      </c>
      <c r="K45" s="5">
        <f t="shared" si="0"/>
        <v>21150</v>
      </c>
      <c r="L45" s="5">
        <f t="shared" si="1"/>
        <v>3350</v>
      </c>
      <c r="M45" s="5">
        <f t="shared" si="2"/>
        <v>71500</v>
      </c>
      <c r="N45" s="5">
        <f t="shared" si="3"/>
        <v>2350</v>
      </c>
      <c r="O45" s="5">
        <f t="shared" si="4"/>
        <v>145350</v>
      </c>
    </row>
    <row r="46" spans="2:15" x14ac:dyDescent="0.35">
      <c r="B46" s="6">
        <v>150821</v>
      </c>
      <c r="C46" s="7" t="s">
        <v>112</v>
      </c>
      <c r="D46" s="7" t="s">
        <v>113</v>
      </c>
      <c r="E46" s="8">
        <v>29966</v>
      </c>
      <c r="F46" s="6" t="s">
        <v>32</v>
      </c>
      <c r="G46" s="7" t="s">
        <v>25</v>
      </c>
      <c r="H46" s="7" t="s">
        <v>65</v>
      </c>
      <c r="I46" s="7" t="s">
        <v>21</v>
      </c>
      <c r="J46" s="5">
        <v>26000</v>
      </c>
      <c r="K46" s="5">
        <f t="shared" si="0"/>
        <v>11700</v>
      </c>
      <c r="L46" s="5">
        <f t="shared" si="1"/>
        <v>2300</v>
      </c>
      <c r="M46" s="5">
        <f t="shared" si="2"/>
        <v>40000</v>
      </c>
      <c r="N46" s="5">
        <f t="shared" si="3"/>
        <v>1300</v>
      </c>
      <c r="O46" s="5">
        <f t="shared" si="4"/>
        <v>81300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2026-01-10T10:33:56Z</dcterms:created>
  <dcterms:modified xsi:type="dcterms:W3CDTF">2026-01-10T10:37:37Z</dcterms:modified>
</cp:coreProperties>
</file>